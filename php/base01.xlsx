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ache24\htdocs\web_s\php\"/>
    </mc:Choice>
  </mc:AlternateContent>
  <xr:revisionPtr revIDLastSave="0" documentId="13_ncr:1_{3163E365-A743-43A9-B864-BB4428D8707B}" xr6:coauthVersionLast="47" xr6:coauthVersionMax="47" xr10:uidLastSave="{00000000-0000-0000-0000-000000000000}"/>
  <bookViews>
    <workbookView xWindow="-120" yWindow="-120" windowWidth="19440" windowHeight="14880" activeTab="2" xr2:uid="{F4B47A71-EA34-4978-BCC2-F6E260B6B7E8}"/>
  </bookViews>
  <sheets>
    <sheet name="table01" sheetId="1" r:id="rId1"/>
    <sheet name="table01_01" sheetId="4" r:id="rId2"/>
    <sheet name="table02" sheetId="2" r:id="rId3"/>
    <sheet name="table02_01" sheetId="5" r:id="rId4"/>
    <sheet name="table03" sheetId="3" r:id="rId5"/>
    <sheet name="table03_01" sheetId="6" r:id="rId6"/>
  </sheets>
  <definedNames>
    <definedName name="_xlnm._FilterDatabase" localSheetId="0" hidden="1">table01!$A$1:$G$1</definedName>
    <definedName name="_xlnm._FilterDatabase" localSheetId="2" hidden="1">table02!$A$1:$J$1</definedName>
    <definedName name="_xlnm._FilterDatabase" localSheetId="3" hidden="1">table02_01!$A$1:$X$1</definedName>
    <definedName name="_xlnm._FilterDatabase" localSheetId="4" hidden="1">table03!$A$1:$DM$1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" i="2" l="1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" i="2"/>
  <c r="U34" i="5"/>
  <c r="V34" i="5" s="1"/>
  <c r="U42" i="5"/>
  <c r="V42" i="5" s="1"/>
  <c r="U50" i="5"/>
  <c r="V50" i="5" s="1"/>
  <c r="U58" i="5"/>
  <c r="V58" i="5" s="1"/>
  <c r="U66" i="5"/>
  <c r="V66" i="5" s="1"/>
  <c r="U74" i="5"/>
  <c r="V74" i="5" s="1"/>
  <c r="U78" i="5"/>
  <c r="V78" i="5" s="1"/>
  <c r="U86" i="5"/>
  <c r="V86" i="5" s="1"/>
  <c r="U7" i="5"/>
  <c r="V7" i="5" s="1"/>
  <c r="L3" i="5"/>
  <c r="R3" i="5" s="1"/>
  <c r="S3" i="5" s="1"/>
  <c r="L4" i="5"/>
  <c r="R4" i="5" s="1"/>
  <c r="S4" i="5" s="1"/>
  <c r="L5" i="5"/>
  <c r="R5" i="5" s="1"/>
  <c r="S5" i="5" s="1"/>
  <c r="L6" i="5"/>
  <c r="R6" i="5" s="1"/>
  <c r="S6" i="5" s="1"/>
  <c r="L7" i="5"/>
  <c r="R7" i="5" s="1"/>
  <c r="S7" i="5" s="1"/>
  <c r="L8" i="5"/>
  <c r="R8" i="5" s="1"/>
  <c r="S8" i="5" s="1"/>
  <c r="L9" i="5"/>
  <c r="R9" i="5" s="1"/>
  <c r="S9" i="5" s="1"/>
  <c r="L10" i="5"/>
  <c r="R10" i="5" s="1"/>
  <c r="S10" i="5" s="1"/>
  <c r="L11" i="5"/>
  <c r="R11" i="5" s="1"/>
  <c r="S11" i="5" s="1"/>
  <c r="L12" i="5"/>
  <c r="R12" i="5" s="1"/>
  <c r="S12" i="5" s="1"/>
  <c r="L13" i="5"/>
  <c r="R13" i="5" s="1"/>
  <c r="S13" i="5" s="1"/>
  <c r="L14" i="5"/>
  <c r="R14" i="5" s="1"/>
  <c r="S14" i="5" s="1"/>
  <c r="L15" i="5"/>
  <c r="R15" i="5" s="1"/>
  <c r="S15" i="5" s="1"/>
  <c r="L16" i="5"/>
  <c r="R16" i="5" s="1"/>
  <c r="S16" i="5" s="1"/>
  <c r="L17" i="5"/>
  <c r="R17" i="5" s="1"/>
  <c r="S17" i="5" s="1"/>
  <c r="L18" i="5"/>
  <c r="R18" i="5" s="1"/>
  <c r="S18" i="5" s="1"/>
  <c r="L19" i="5"/>
  <c r="R19" i="5" s="1"/>
  <c r="S19" i="5" s="1"/>
  <c r="L20" i="5"/>
  <c r="R20" i="5" s="1"/>
  <c r="S20" i="5" s="1"/>
  <c r="L21" i="5"/>
  <c r="R21" i="5" s="1"/>
  <c r="S21" i="5" s="1"/>
  <c r="L22" i="5"/>
  <c r="R22" i="5" s="1"/>
  <c r="S22" i="5" s="1"/>
  <c r="L23" i="5"/>
  <c r="R23" i="5" s="1"/>
  <c r="S23" i="5" s="1"/>
  <c r="L24" i="5"/>
  <c r="R24" i="5" s="1"/>
  <c r="S24" i="5" s="1"/>
  <c r="L25" i="5"/>
  <c r="R25" i="5" s="1"/>
  <c r="S25" i="5" s="1"/>
  <c r="L26" i="5"/>
  <c r="R26" i="5" s="1"/>
  <c r="S26" i="5" s="1"/>
  <c r="L27" i="5"/>
  <c r="R27" i="5" s="1"/>
  <c r="S27" i="5" s="1"/>
  <c r="L28" i="5"/>
  <c r="R28" i="5" s="1"/>
  <c r="S28" i="5" s="1"/>
  <c r="L29" i="5"/>
  <c r="R29" i="5" s="1"/>
  <c r="S29" i="5" s="1"/>
  <c r="L30" i="5"/>
  <c r="R30" i="5" s="1"/>
  <c r="S30" i="5" s="1"/>
  <c r="L31" i="5"/>
  <c r="U31" i="5" s="1"/>
  <c r="V31" i="5" s="1"/>
  <c r="L32" i="5"/>
  <c r="R32" i="5" s="1"/>
  <c r="S32" i="5" s="1"/>
  <c r="L33" i="5"/>
  <c r="R33" i="5" s="1"/>
  <c r="S33" i="5" s="1"/>
  <c r="L34" i="5"/>
  <c r="R34" i="5" s="1"/>
  <c r="S34" i="5" s="1"/>
  <c r="L35" i="5"/>
  <c r="R35" i="5" s="1"/>
  <c r="S35" i="5" s="1"/>
  <c r="L36" i="5"/>
  <c r="R36" i="5" s="1"/>
  <c r="S36" i="5" s="1"/>
  <c r="L37" i="5"/>
  <c r="R37" i="5" s="1"/>
  <c r="S37" i="5" s="1"/>
  <c r="L38" i="5"/>
  <c r="R38" i="5" s="1"/>
  <c r="S38" i="5" s="1"/>
  <c r="L39" i="5"/>
  <c r="R39" i="5" s="1"/>
  <c r="S39" i="5" s="1"/>
  <c r="L40" i="5"/>
  <c r="R40" i="5" s="1"/>
  <c r="S40" i="5" s="1"/>
  <c r="L41" i="5"/>
  <c r="R41" i="5" s="1"/>
  <c r="S41" i="5" s="1"/>
  <c r="L42" i="5"/>
  <c r="R42" i="5" s="1"/>
  <c r="S42" i="5" s="1"/>
  <c r="L43" i="5"/>
  <c r="R43" i="5" s="1"/>
  <c r="S43" i="5" s="1"/>
  <c r="L44" i="5"/>
  <c r="R44" i="5" s="1"/>
  <c r="S44" i="5" s="1"/>
  <c r="L45" i="5"/>
  <c r="R45" i="5" s="1"/>
  <c r="S45" i="5" s="1"/>
  <c r="L46" i="5"/>
  <c r="R46" i="5" s="1"/>
  <c r="S46" i="5" s="1"/>
  <c r="L47" i="5"/>
  <c r="R47" i="5" s="1"/>
  <c r="S47" i="5" s="1"/>
  <c r="L48" i="5"/>
  <c r="R48" i="5" s="1"/>
  <c r="S48" i="5" s="1"/>
  <c r="L49" i="5"/>
  <c r="R49" i="5" s="1"/>
  <c r="S49" i="5" s="1"/>
  <c r="L50" i="5"/>
  <c r="R50" i="5" s="1"/>
  <c r="S50" i="5" s="1"/>
  <c r="L51" i="5"/>
  <c r="R51" i="5" s="1"/>
  <c r="S51" i="5" s="1"/>
  <c r="L52" i="5"/>
  <c r="R52" i="5" s="1"/>
  <c r="S52" i="5" s="1"/>
  <c r="L53" i="5"/>
  <c r="R53" i="5" s="1"/>
  <c r="S53" i="5" s="1"/>
  <c r="L54" i="5"/>
  <c r="R54" i="5" s="1"/>
  <c r="S54" i="5" s="1"/>
  <c r="L55" i="5"/>
  <c r="R55" i="5" s="1"/>
  <c r="S55" i="5" s="1"/>
  <c r="L56" i="5"/>
  <c r="R56" i="5" s="1"/>
  <c r="S56" i="5" s="1"/>
  <c r="L57" i="5"/>
  <c r="R57" i="5" s="1"/>
  <c r="S57" i="5" s="1"/>
  <c r="L58" i="5"/>
  <c r="R58" i="5" s="1"/>
  <c r="S58" i="5" s="1"/>
  <c r="L59" i="5"/>
  <c r="R59" i="5" s="1"/>
  <c r="S59" i="5" s="1"/>
  <c r="L60" i="5"/>
  <c r="R60" i="5" s="1"/>
  <c r="S60" i="5" s="1"/>
  <c r="L61" i="5"/>
  <c r="R61" i="5" s="1"/>
  <c r="S61" i="5" s="1"/>
  <c r="L62" i="5"/>
  <c r="R62" i="5" s="1"/>
  <c r="S62" i="5" s="1"/>
  <c r="L63" i="5"/>
  <c r="R63" i="5" s="1"/>
  <c r="S63" i="5" s="1"/>
  <c r="L64" i="5"/>
  <c r="R64" i="5" s="1"/>
  <c r="S64" i="5" s="1"/>
  <c r="L65" i="5"/>
  <c r="R65" i="5" s="1"/>
  <c r="S65" i="5" s="1"/>
  <c r="L66" i="5"/>
  <c r="R66" i="5" s="1"/>
  <c r="S66" i="5" s="1"/>
  <c r="L67" i="5"/>
  <c r="R67" i="5" s="1"/>
  <c r="S67" i="5" s="1"/>
  <c r="L68" i="5"/>
  <c r="R68" i="5" s="1"/>
  <c r="S68" i="5" s="1"/>
  <c r="L69" i="5"/>
  <c r="R69" i="5" s="1"/>
  <c r="S69" i="5" s="1"/>
  <c r="L70" i="5"/>
  <c r="R70" i="5" s="1"/>
  <c r="S70" i="5" s="1"/>
  <c r="L71" i="5"/>
  <c r="R71" i="5" s="1"/>
  <c r="S71" i="5" s="1"/>
  <c r="L72" i="5"/>
  <c r="R72" i="5" s="1"/>
  <c r="S72" i="5" s="1"/>
  <c r="L73" i="5"/>
  <c r="R73" i="5" s="1"/>
  <c r="S73" i="5" s="1"/>
  <c r="L74" i="5"/>
  <c r="R74" i="5" s="1"/>
  <c r="S74" i="5" s="1"/>
  <c r="L75" i="5"/>
  <c r="R75" i="5" s="1"/>
  <c r="S75" i="5" s="1"/>
  <c r="L76" i="5"/>
  <c r="R76" i="5" s="1"/>
  <c r="S76" i="5" s="1"/>
  <c r="L77" i="5"/>
  <c r="R77" i="5" s="1"/>
  <c r="S77" i="5" s="1"/>
  <c r="L78" i="5"/>
  <c r="R78" i="5" s="1"/>
  <c r="S78" i="5" s="1"/>
  <c r="L79" i="5"/>
  <c r="R79" i="5" s="1"/>
  <c r="S79" i="5" s="1"/>
  <c r="L80" i="5"/>
  <c r="R80" i="5" s="1"/>
  <c r="S80" i="5" s="1"/>
  <c r="L81" i="5"/>
  <c r="R81" i="5" s="1"/>
  <c r="S81" i="5" s="1"/>
  <c r="L82" i="5"/>
  <c r="R82" i="5" s="1"/>
  <c r="S82" i="5" s="1"/>
  <c r="L83" i="5"/>
  <c r="R83" i="5" s="1"/>
  <c r="S83" i="5" s="1"/>
  <c r="L84" i="5"/>
  <c r="R84" i="5" s="1"/>
  <c r="S84" i="5" s="1"/>
  <c r="L85" i="5"/>
  <c r="R85" i="5" s="1"/>
  <c r="S85" i="5" s="1"/>
  <c r="L86" i="5"/>
  <c r="R86" i="5" s="1"/>
  <c r="S86" i="5" s="1"/>
  <c r="L2" i="5"/>
  <c r="O6" i="5"/>
  <c r="O26" i="5"/>
  <c r="N3" i="5"/>
  <c r="N4" i="5"/>
  <c r="P4" i="5" s="1"/>
  <c r="N5" i="5"/>
  <c r="P5" i="5" s="1"/>
  <c r="N6" i="5"/>
  <c r="P6" i="5" s="1"/>
  <c r="N7" i="5"/>
  <c r="P7" i="5" s="1"/>
  <c r="N8" i="5"/>
  <c r="P8" i="5" s="1"/>
  <c r="N9" i="5"/>
  <c r="P9" i="5" s="1"/>
  <c r="N10" i="5"/>
  <c r="P10" i="5" s="1"/>
  <c r="N11" i="5"/>
  <c r="P11" i="5" s="1"/>
  <c r="N12" i="5"/>
  <c r="P12" i="5" s="1"/>
  <c r="N13" i="5"/>
  <c r="P13" i="5" s="1"/>
  <c r="N14" i="5"/>
  <c r="P14" i="5" s="1"/>
  <c r="N15" i="5"/>
  <c r="P15" i="5" s="1"/>
  <c r="N16" i="5"/>
  <c r="P16" i="5" s="1"/>
  <c r="N17" i="5"/>
  <c r="P17" i="5" s="1"/>
  <c r="N18" i="5"/>
  <c r="P18" i="5" s="1"/>
  <c r="N19" i="5"/>
  <c r="P19" i="5" s="1"/>
  <c r="N20" i="5"/>
  <c r="P20" i="5" s="1"/>
  <c r="N21" i="5"/>
  <c r="P21" i="5" s="1"/>
  <c r="N22" i="5"/>
  <c r="P22" i="5" s="1"/>
  <c r="N23" i="5"/>
  <c r="P23" i="5" s="1"/>
  <c r="N24" i="5"/>
  <c r="P24" i="5" s="1"/>
  <c r="N25" i="5"/>
  <c r="P25" i="5" s="1"/>
  <c r="N26" i="5"/>
  <c r="P26" i="5" s="1"/>
  <c r="N27" i="5"/>
  <c r="P27" i="5" s="1"/>
  <c r="N28" i="5"/>
  <c r="P28" i="5" s="1"/>
  <c r="N29" i="5"/>
  <c r="P29" i="5" s="1"/>
  <c r="N30" i="5"/>
  <c r="P30" i="5" s="1"/>
  <c r="N31" i="5"/>
  <c r="P31" i="5" s="1"/>
  <c r="N32" i="5"/>
  <c r="P32" i="5" s="1"/>
  <c r="N33" i="5"/>
  <c r="P33" i="5" s="1"/>
  <c r="N34" i="5"/>
  <c r="P34" i="5" s="1"/>
  <c r="N35" i="5"/>
  <c r="P35" i="5" s="1"/>
  <c r="N36" i="5"/>
  <c r="P36" i="5" s="1"/>
  <c r="N37" i="5"/>
  <c r="P37" i="5" s="1"/>
  <c r="N38" i="5"/>
  <c r="P38" i="5" s="1"/>
  <c r="N39" i="5"/>
  <c r="P39" i="5" s="1"/>
  <c r="N40" i="5"/>
  <c r="P40" i="5" s="1"/>
  <c r="N41" i="5"/>
  <c r="P41" i="5" s="1"/>
  <c r="N42" i="5"/>
  <c r="P42" i="5" s="1"/>
  <c r="N43" i="5"/>
  <c r="P43" i="5" s="1"/>
  <c r="N44" i="5"/>
  <c r="P44" i="5" s="1"/>
  <c r="N45" i="5"/>
  <c r="P45" i="5" s="1"/>
  <c r="N46" i="5"/>
  <c r="P46" i="5" s="1"/>
  <c r="N47" i="5"/>
  <c r="P47" i="5" s="1"/>
  <c r="N48" i="5"/>
  <c r="P48" i="5" s="1"/>
  <c r="N49" i="5"/>
  <c r="P49" i="5" s="1"/>
  <c r="N50" i="5"/>
  <c r="P50" i="5" s="1"/>
  <c r="N51" i="5"/>
  <c r="P51" i="5" s="1"/>
  <c r="N52" i="5"/>
  <c r="P52" i="5" s="1"/>
  <c r="N53" i="5"/>
  <c r="P53" i="5" s="1"/>
  <c r="N54" i="5"/>
  <c r="P54" i="5" s="1"/>
  <c r="N55" i="5"/>
  <c r="P55" i="5" s="1"/>
  <c r="N56" i="5"/>
  <c r="P56" i="5" s="1"/>
  <c r="N57" i="5"/>
  <c r="P57" i="5" s="1"/>
  <c r="N58" i="5"/>
  <c r="P58" i="5" s="1"/>
  <c r="N59" i="5"/>
  <c r="P59" i="5" s="1"/>
  <c r="N60" i="5"/>
  <c r="P60" i="5" s="1"/>
  <c r="N61" i="5"/>
  <c r="P61" i="5" s="1"/>
  <c r="N62" i="5"/>
  <c r="P62" i="5" s="1"/>
  <c r="N63" i="5"/>
  <c r="P63" i="5" s="1"/>
  <c r="N64" i="5"/>
  <c r="P64" i="5" s="1"/>
  <c r="N65" i="5"/>
  <c r="P65" i="5" s="1"/>
  <c r="N66" i="5"/>
  <c r="P66" i="5" s="1"/>
  <c r="N67" i="5"/>
  <c r="P67" i="5" s="1"/>
  <c r="N68" i="5"/>
  <c r="P68" i="5" s="1"/>
  <c r="N69" i="5"/>
  <c r="P69" i="5" s="1"/>
  <c r="N70" i="5"/>
  <c r="P70" i="5" s="1"/>
  <c r="N71" i="5"/>
  <c r="P71" i="5" s="1"/>
  <c r="N72" i="5"/>
  <c r="P72" i="5" s="1"/>
  <c r="N73" i="5"/>
  <c r="P73" i="5" s="1"/>
  <c r="N74" i="5"/>
  <c r="P74" i="5" s="1"/>
  <c r="N75" i="5"/>
  <c r="P75" i="5" s="1"/>
  <c r="N76" i="5"/>
  <c r="P76" i="5" s="1"/>
  <c r="N77" i="5"/>
  <c r="P77" i="5" s="1"/>
  <c r="N78" i="5"/>
  <c r="P78" i="5" s="1"/>
  <c r="N79" i="5"/>
  <c r="P79" i="5" s="1"/>
  <c r="N80" i="5"/>
  <c r="P80" i="5" s="1"/>
  <c r="N81" i="5"/>
  <c r="P81" i="5" s="1"/>
  <c r="N82" i="5"/>
  <c r="P82" i="5" s="1"/>
  <c r="N83" i="5"/>
  <c r="P83" i="5" s="1"/>
  <c r="N84" i="5"/>
  <c r="P84" i="5" s="1"/>
  <c r="N85" i="5"/>
  <c r="P85" i="5" s="1"/>
  <c r="N86" i="5"/>
  <c r="O86" i="5" s="1"/>
  <c r="N2" i="5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2" i="1"/>
  <c r="F385" i="1"/>
  <c r="F379" i="1"/>
  <c r="F372" i="1"/>
  <c r="F326" i="1"/>
  <c r="F325" i="1"/>
  <c r="F324" i="1"/>
  <c r="F321" i="1"/>
  <c r="F318" i="1"/>
  <c r="F317" i="1"/>
  <c r="F316" i="1"/>
  <c r="F313" i="1"/>
  <c r="F312" i="1"/>
  <c r="F311" i="1"/>
  <c r="F310" i="1"/>
  <c r="F308" i="1"/>
  <c r="F307" i="1"/>
  <c r="F306" i="1"/>
  <c r="F305" i="1"/>
  <c r="F295" i="1"/>
  <c r="F294" i="1"/>
  <c r="F292" i="1"/>
  <c r="F289" i="1"/>
  <c r="F284" i="1"/>
  <c r="F283" i="1"/>
  <c r="F282" i="1"/>
  <c r="F280" i="1"/>
  <c r="F279" i="1"/>
  <c r="F277" i="1"/>
  <c r="F273" i="1"/>
  <c r="F272" i="1"/>
  <c r="F270" i="1"/>
  <c r="F269" i="1"/>
  <c r="F267" i="1"/>
  <c r="F264" i="1"/>
  <c r="F263" i="1"/>
  <c r="F262" i="1"/>
  <c r="F261" i="1"/>
  <c r="F260" i="1"/>
  <c r="F259" i="1"/>
  <c r="F258" i="1"/>
  <c r="F257" i="1"/>
  <c r="F256" i="1"/>
  <c r="F255" i="1"/>
  <c r="F254" i="1"/>
  <c r="F252" i="1"/>
  <c r="F248" i="1"/>
  <c r="F246" i="1"/>
  <c r="F242" i="1"/>
  <c r="F240" i="1"/>
  <c r="F239" i="1"/>
  <c r="F238" i="1"/>
  <c r="F236" i="1"/>
  <c r="F233" i="1"/>
  <c r="F225" i="1"/>
  <c r="F224" i="1"/>
  <c r="F223" i="1"/>
  <c r="F219" i="1"/>
  <c r="F218" i="1"/>
  <c r="F217" i="1"/>
  <c r="F216" i="1"/>
  <c r="F215" i="1"/>
  <c r="F214" i="1"/>
  <c r="F213" i="1"/>
  <c r="F209" i="1"/>
  <c r="F208" i="1"/>
  <c r="F206" i="1"/>
  <c r="F205" i="1"/>
  <c r="F203" i="1"/>
  <c r="F166" i="1"/>
  <c r="F162" i="1"/>
  <c r="F161" i="1"/>
  <c r="F160" i="1"/>
  <c r="F153" i="1"/>
  <c r="F150" i="1"/>
  <c r="F149" i="1"/>
  <c r="F145" i="1"/>
  <c r="F144" i="1"/>
  <c r="F133" i="1"/>
  <c r="F132" i="1"/>
  <c r="F128" i="1"/>
  <c r="F117" i="1"/>
  <c r="F113" i="1"/>
  <c r="F112" i="1"/>
  <c r="F110" i="1"/>
  <c r="F109" i="1"/>
  <c r="F108" i="1"/>
  <c r="F107" i="1"/>
  <c r="F104" i="1"/>
  <c r="F103" i="1"/>
  <c r="F100" i="1"/>
  <c r="F97" i="1"/>
  <c r="F96" i="1"/>
  <c r="F87" i="1"/>
  <c r="F86" i="1"/>
  <c r="F85" i="1"/>
  <c r="F83" i="1"/>
  <c r="F82" i="1"/>
  <c r="F81" i="1"/>
  <c r="F78" i="1"/>
  <c r="F77" i="1"/>
  <c r="F65" i="1"/>
  <c r="F63" i="1"/>
  <c r="F60" i="1"/>
  <c r="F57" i="1"/>
  <c r="F48" i="1"/>
  <c r="R31" i="5" l="1"/>
  <c r="S31" i="5" s="1"/>
  <c r="U6" i="5"/>
  <c r="V6" i="5" s="1"/>
  <c r="U85" i="5"/>
  <c r="V85" i="5" s="1"/>
  <c r="U77" i="5"/>
  <c r="V77" i="5" s="1"/>
  <c r="U70" i="5"/>
  <c r="V70" i="5" s="1"/>
  <c r="U62" i="5"/>
  <c r="V62" i="5" s="1"/>
  <c r="U54" i="5"/>
  <c r="V54" i="5" s="1"/>
  <c r="U46" i="5"/>
  <c r="V46" i="5" s="1"/>
  <c r="U38" i="5"/>
  <c r="V38" i="5" s="1"/>
  <c r="U30" i="5"/>
  <c r="V30" i="5" s="1"/>
  <c r="U22" i="5"/>
  <c r="V22" i="5" s="1"/>
  <c r="U14" i="5"/>
  <c r="V14" i="5" s="1"/>
  <c r="O54" i="5"/>
  <c r="U3" i="5"/>
  <c r="V3" i="5" s="1"/>
  <c r="U82" i="5"/>
  <c r="V82" i="5" s="1"/>
  <c r="U75" i="5"/>
  <c r="V75" i="5" s="1"/>
  <c r="U81" i="5"/>
  <c r="V81" i="5" s="1"/>
  <c r="U26" i="5"/>
  <c r="V26" i="5" s="1"/>
  <c r="U18" i="5"/>
  <c r="V18" i="5" s="1"/>
  <c r="U10" i="5"/>
  <c r="V10" i="5" s="1"/>
  <c r="O46" i="5"/>
  <c r="O22" i="5"/>
  <c r="U72" i="5"/>
  <c r="V72" i="5" s="1"/>
  <c r="U68" i="5"/>
  <c r="V68" i="5" s="1"/>
  <c r="U64" i="5"/>
  <c r="V64" i="5" s="1"/>
  <c r="U60" i="5"/>
  <c r="V60" i="5" s="1"/>
  <c r="U56" i="5"/>
  <c r="V56" i="5" s="1"/>
  <c r="U52" i="5"/>
  <c r="V52" i="5" s="1"/>
  <c r="U48" i="5"/>
  <c r="V48" i="5" s="1"/>
  <c r="U44" i="5"/>
  <c r="V44" i="5" s="1"/>
  <c r="U40" i="5"/>
  <c r="V40" i="5" s="1"/>
  <c r="U36" i="5"/>
  <c r="V36" i="5" s="1"/>
  <c r="U32" i="5"/>
  <c r="V32" i="5" s="1"/>
  <c r="U28" i="5"/>
  <c r="V28" i="5" s="1"/>
  <c r="U24" i="5"/>
  <c r="V24" i="5" s="1"/>
  <c r="U20" i="5"/>
  <c r="V20" i="5" s="1"/>
  <c r="U16" i="5"/>
  <c r="V16" i="5" s="1"/>
  <c r="U12" i="5"/>
  <c r="V12" i="5" s="1"/>
  <c r="O70" i="5"/>
  <c r="O38" i="5"/>
  <c r="O14" i="5"/>
  <c r="U5" i="5"/>
  <c r="V5" i="5" s="1"/>
  <c r="U84" i="5"/>
  <c r="V84" i="5" s="1"/>
  <c r="U80" i="5"/>
  <c r="V80" i="5" s="1"/>
  <c r="U76" i="5"/>
  <c r="V76" i="5" s="1"/>
  <c r="O78" i="5"/>
  <c r="O62" i="5"/>
  <c r="O30" i="5"/>
  <c r="O10" i="5"/>
  <c r="U4" i="5"/>
  <c r="V4" i="5" s="1"/>
  <c r="U83" i="5"/>
  <c r="V83" i="5" s="1"/>
  <c r="U79" i="5"/>
  <c r="V79" i="5" s="1"/>
  <c r="U73" i="5"/>
  <c r="V73" i="5" s="1"/>
  <c r="U71" i="5"/>
  <c r="V71" i="5" s="1"/>
  <c r="U69" i="5"/>
  <c r="V69" i="5" s="1"/>
  <c r="U67" i="5"/>
  <c r="V67" i="5" s="1"/>
  <c r="U65" i="5"/>
  <c r="V65" i="5" s="1"/>
  <c r="U63" i="5"/>
  <c r="V63" i="5" s="1"/>
  <c r="U61" i="5"/>
  <c r="V61" i="5" s="1"/>
  <c r="U59" i="5"/>
  <c r="V59" i="5" s="1"/>
  <c r="U57" i="5"/>
  <c r="V57" i="5" s="1"/>
  <c r="U55" i="5"/>
  <c r="V55" i="5" s="1"/>
  <c r="U53" i="5"/>
  <c r="V53" i="5" s="1"/>
  <c r="U51" i="5"/>
  <c r="V51" i="5" s="1"/>
  <c r="U49" i="5"/>
  <c r="V49" i="5" s="1"/>
  <c r="U47" i="5"/>
  <c r="V47" i="5" s="1"/>
  <c r="U45" i="5"/>
  <c r="V45" i="5" s="1"/>
  <c r="U43" i="5"/>
  <c r="V43" i="5" s="1"/>
  <c r="U41" i="5"/>
  <c r="V41" i="5" s="1"/>
  <c r="U39" i="5"/>
  <c r="V39" i="5" s="1"/>
  <c r="U37" i="5"/>
  <c r="V37" i="5" s="1"/>
  <c r="U35" i="5"/>
  <c r="V35" i="5" s="1"/>
  <c r="U33" i="5"/>
  <c r="V33" i="5" s="1"/>
  <c r="U29" i="5"/>
  <c r="V29" i="5" s="1"/>
  <c r="U27" i="5"/>
  <c r="V27" i="5" s="1"/>
  <c r="U25" i="5"/>
  <c r="V25" i="5" s="1"/>
  <c r="U23" i="5"/>
  <c r="V23" i="5" s="1"/>
  <c r="U21" i="5"/>
  <c r="V21" i="5" s="1"/>
  <c r="U19" i="5"/>
  <c r="V19" i="5" s="1"/>
  <c r="U17" i="5"/>
  <c r="V17" i="5" s="1"/>
  <c r="U15" i="5"/>
  <c r="V15" i="5" s="1"/>
  <c r="U13" i="5"/>
  <c r="V13" i="5" s="1"/>
  <c r="U11" i="5"/>
  <c r="V11" i="5" s="1"/>
  <c r="U9" i="5"/>
  <c r="V9" i="5" s="1"/>
  <c r="U8" i="5"/>
  <c r="V8" i="5" s="1"/>
  <c r="O82" i="5"/>
  <c r="O66" i="5"/>
  <c r="O50" i="5"/>
  <c r="O34" i="5"/>
  <c r="O18" i="5"/>
  <c r="O74" i="5"/>
  <c r="O58" i="5"/>
  <c r="O42" i="5"/>
  <c r="O84" i="5"/>
  <c r="O76" i="5"/>
  <c r="O68" i="5"/>
  <c r="O60" i="5"/>
  <c r="O52" i="5"/>
  <c r="O44" i="5"/>
  <c r="O36" i="5"/>
  <c r="O28" i="5"/>
  <c r="O20" i="5"/>
  <c r="O12" i="5"/>
  <c r="O4" i="5"/>
  <c r="O80" i="5"/>
  <c r="O72" i="5"/>
  <c r="O64" i="5"/>
  <c r="O56" i="5"/>
  <c r="O48" i="5"/>
  <c r="O40" i="5"/>
  <c r="O32" i="5"/>
  <c r="O24" i="5"/>
  <c r="O16" i="5"/>
  <c r="O8" i="5"/>
  <c r="O83" i="5"/>
  <c r="O79" i="5"/>
  <c r="O75" i="5"/>
  <c r="O71" i="5"/>
  <c r="O67" i="5"/>
  <c r="O63" i="5"/>
  <c r="O59" i="5"/>
  <c r="O55" i="5"/>
  <c r="O51" i="5"/>
  <c r="O47" i="5"/>
  <c r="O43" i="5"/>
  <c r="O39" i="5"/>
  <c r="O35" i="5"/>
  <c r="O31" i="5"/>
  <c r="O27" i="5"/>
  <c r="O23" i="5"/>
  <c r="O19" i="5"/>
  <c r="O15" i="5"/>
  <c r="O11" i="5"/>
  <c r="O7" i="5"/>
  <c r="O85" i="5"/>
  <c r="O81" i="5"/>
  <c r="O77" i="5"/>
  <c r="O73" i="5"/>
  <c r="O69" i="5"/>
  <c r="O65" i="5"/>
  <c r="O61" i="5"/>
  <c r="O57" i="5"/>
  <c r="O53" i="5"/>
  <c r="O49" i="5"/>
  <c r="O45" i="5"/>
  <c r="O41" i="5"/>
  <c r="O37" i="5"/>
  <c r="O33" i="5"/>
  <c r="O29" i="5"/>
  <c r="O25" i="5"/>
  <c r="O21" i="5"/>
  <c r="O17" i="5"/>
  <c r="O13" i="5"/>
  <c r="O9" i="5"/>
  <c r="O5" i="5"/>
  <c r="P2" i="5"/>
  <c r="O2" i="5"/>
  <c r="P3" i="5"/>
  <c r="O3" i="5"/>
  <c r="P86" i="5"/>
</calcChain>
</file>

<file path=xl/sharedStrings.xml><?xml version="1.0" encoding="utf-8"?>
<sst xmlns="http://schemas.openxmlformats.org/spreadsheetml/2006/main" count="3942" uniqueCount="1688">
  <si>
    <t>C03</t>
  </si>
  <si>
    <t>C04</t>
  </si>
  <si>
    <t>C06</t>
  </si>
  <si>
    <t>C08</t>
  </si>
  <si>
    <t>HLCC-108M Matte Photo Paper 108g A4 * 100 sheets</t>
  </si>
  <si>
    <t>пачка</t>
  </si>
  <si>
    <t>.230308</t>
  </si>
  <si>
    <t>HLCC-115G Фотобумага глянцевая, 115 гр/см2, A4 * 100 листов</t>
  </si>
  <si>
    <t>HLCC-140DG Фотобумага глянцевая двухсторонняя, 140 гр/см2, A4 * 20 листов</t>
  </si>
  <si>
    <t>HLCC-180DG Фотобумага глянцевая двухсторонняя, 180 гр/см2, A4 *50 листов</t>
  </si>
  <si>
    <t xml:space="preserve">HLCC-180G Фотобумага глянцевая, 180 гр/см2, 4R (10 на 15см) </t>
  </si>
  <si>
    <t>HLCC-180G Фотобумага глянцевая, 180 гр/см2, A4 * 100 листов</t>
  </si>
  <si>
    <t>.230510</t>
  </si>
  <si>
    <t>HLCC-190М Фотобумага матовая, 190 гр/см2,  4R  * 100 sheets</t>
  </si>
  <si>
    <t>HLCC-190М Фотобумага матовая, 190 гр/см2, A4 * 100 листов</t>
  </si>
  <si>
    <t>HLCC-200G Фотобумага глянцевая, 200 гр/см2, A4 * 100 листов</t>
  </si>
  <si>
    <t>HLCC-210M Фотобумага матовая 210g  A4  * 100 sheets</t>
  </si>
  <si>
    <t xml:space="preserve">HLCC-230G Фотобумага глянцевая с обратной печатью,  230gsm, 5R (13 на 18) * 100 листов </t>
  </si>
  <si>
    <t xml:space="preserve">HLCC-230G Фотобумага глянцевая, 230 гр/см2, 4R (10 на 15см) </t>
  </si>
  <si>
    <t>HLCC-230G Фотобумага глянцевая, 230 гр/см2, A3 * 100 листов</t>
  </si>
  <si>
    <t>HLCC-230G Фотобумага глянцевая, 230 гр/см2, A4 * 100 листов</t>
  </si>
  <si>
    <t xml:space="preserve">HLCC-230М Фотобумага матовая, 230 гр/см2, 4R (10 на 15см) </t>
  </si>
  <si>
    <t>HLCC-230М Фотобумага матовая, 230 гр/см2, A4 * 100 листов</t>
  </si>
  <si>
    <t>HLCC-90GFD Фотобумага глянцевая самоклеющаяся, 90 гр/см2, A4 * 20 листов (Фотобумага)</t>
  </si>
  <si>
    <t>HLLM-100L Пленка для ламинирования, А4 * 100 листов (Фотобумага)</t>
  </si>
  <si>
    <t>HLMG-680G Фотобумага глянцевая магнитная, 680gsm, A4*10 листов</t>
  </si>
  <si>
    <t>HLPET-5M Пленка самоклеющаяся ПЭТ водостойкая для струйной печати прозрачная, А4 * 100 листов (Фотобумага)</t>
  </si>
  <si>
    <t>HLPP-115G Фотобумага глянцевая А4, 115гр/см2, 100 листов</t>
  </si>
  <si>
    <t>шт</t>
  </si>
  <si>
    <t>HLPP-115G Фотобумага глянцевая самоклеющаяся, 115 гр/см2, A4 * 50 листов</t>
  </si>
  <si>
    <t>HLPP-128M Фотобумага матовая A4/ 128гр/см2/ 100листов</t>
  </si>
  <si>
    <t>HLPP-140G Фотобумага A4 140G double side glossy photo paper *50sheets/pk</t>
  </si>
  <si>
    <t>HLPP-180G Фотобумага A4 180G double side glossy photo paper*50sheets/pk</t>
  </si>
  <si>
    <t>HLPP-180G Фотобумага глянцевая 4R (10 на 15см), 180гр/см2, 100 листов</t>
  </si>
  <si>
    <t>HLPP-180G Фотобумага глянцевая 4R (10 на 15см), 180гр/см2, 100 листов с ЛОГОТИПОМ</t>
  </si>
  <si>
    <t>HLPP-180G Фотобумага глянцевая А4, 180гр/см2, 100 листов</t>
  </si>
  <si>
    <t>HLPP-180G Фотобумага глянцевая А4, 180гр/см2, 100 листов с ЛОГОТИПОМ</t>
  </si>
  <si>
    <t>HLPP-180G Фотобумага глянцевая А4, 180гр/см2, 20 листов с ЛОГОТИПОМ</t>
  </si>
  <si>
    <t>HLPP-200M Фотобумага матовая  4R (10 на 15см), 200гр/см2, 100 листов</t>
  </si>
  <si>
    <t>HLPP-230G Фотобумага глянцевая 4R (10 на 15см), 230гр/см2, 100 листов</t>
  </si>
  <si>
    <t>HLPP-230G Фотобумага глянцевая 4R (10 на 15см), 230гр/см2, 100 листов с ЛОГОТИПОМ</t>
  </si>
  <si>
    <t>HLPP-230G Фотобумага глянцевая А4, 230гр/см2, 100 листов</t>
  </si>
  <si>
    <t>HLPP-230G Фотобумага глянцевая А4, 230гр/см2, 100 листов с ЛОГОТИПОМ</t>
  </si>
  <si>
    <t>HLPP-230G Фотобумага глянцевая А4, 230гр/см2, 20 листов с ЛОГОТИПОМ</t>
  </si>
  <si>
    <t>HLPP-260G Фотобумага 4R 260G RC Matte satin photo paper *100sheets/pk</t>
  </si>
  <si>
    <t>HLPP-260G Фотобумага 4R 260G RC Rough satin photo paper *100sheets/pk</t>
  </si>
  <si>
    <t>HLPP-260G Фотобумага 4R 260G RC Woven photo paper *100sheets/pk</t>
  </si>
  <si>
    <t>HLRC-190DM RC Glossy Photo Paper 190g 4R  * 100 sheets</t>
  </si>
  <si>
    <t>HLRC-190DM RC Glossy Photo Paper 190g A4 * 20 sheets</t>
  </si>
  <si>
    <t>HLRC-260G Inkjet RC Glossy Photo Paper 4R  * 100 sheets</t>
  </si>
  <si>
    <t>HLRC-260G Inkjet RC Glossy Photo Paper A4  * 20 sheets</t>
  </si>
  <si>
    <t>HLT-150P Термотрансферная бумага для светлых тканей, 150gsm,  A4*100 листов</t>
  </si>
  <si>
    <t>HTW-300 Термотрансферная бумага для темных тканей, 300gsm, A4*20 листов</t>
  </si>
  <si>
    <t>HTW-300EX Термотрансферная бумага для темных тканей (Голубая подложка), 300gsm, A4*20 листов</t>
  </si>
  <si>
    <t>PCR (вал первичного заряда) Canon IR 2016/1600/2025</t>
  </si>
  <si>
    <t>PCR (вал первичного заряда) Samsung ML-1660/1860;SCX-3200 (D104)</t>
  </si>
  <si>
    <t>.210100</t>
  </si>
  <si>
    <t>PCR (вал первичного заряда) для Pantum P2200/P2207/P2500W/M6600 (PC-211), Developer Roller, Тип 1.4</t>
  </si>
  <si>
    <t>PCR (вал первичного заряда) для картриджей 12A Laser Jet HP 1010/1012/1015/3015/3020/3030 CANON 2900/3000</t>
  </si>
  <si>
    <t>PCR (вал первичного заряда) для картриджей Canon PC/FC-128/230/330</t>
  </si>
  <si>
    <t>.210516</t>
  </si>
  <si>
    <t>PCR (вал первичного заряда) для картриджей P1005,388A,P1007,1008,1505,1522,278,285,435,436</t>
  </si>
  <si>
    <t xml:space="preserve">PCR (вал первичного заряда) для картриджей Samsung ML-1610/2015 </t>
  </si>
  <si>
    <t>PCR (вал первичного заряда) для картриджей Samsung ML-1710/SCX-4200</t>
  </si>
  <si>
    <t>PCR (вал первичного заряда) для картриджей Samsung ML-M2020/2070/2160/SCX-3400</t>
  </si>
  <si>
    <t>PCR (вал первичного заряда) для принтеров M104/M102a/M130/M132/M106 (CF219A)</t>
  </si>
  <si>
    <t xml:space="preserve">T-образный держатель шлейфа для СНПЧ - клипса (система непрерывной подачи чернил), пластиковая планка для крепления шлейфа в СНПЧ </t>
  </si>
  <si>
    <t>USB Hub DE-V15 White</t>
  </si>
  <si>
    <t>Бушинг магнитного вала картриджа HP LJ 1010/1020 (Q2612A) (комплект 2шт)</t>
  </si>
  <si>
    <t>Бушинг резинового вала для HP LJ 1160/1320/3027 (Комплект)</t>
  </si>
  <si>
    <t>Бушинг резинового вала для HP LJ P1505/2035/M401/M425</t>
  </si>
  <si>
    <t>Вал магнитный (magnetic roller) для картриджей HP Laser Jet 1000/1200/</t>
  </si>
  <si>
    <t>Вал магнитный (magnetic roller) для картриджей HP Laser Jet 1010/1012/1015/3015/3020/3030 CANON 2900/3000</t>
  </si>
  <si>
    <t>Вал магнитный (magnetic roller) для картриджей HP Laser Jet 1100</t>
  </si>
  <si>
    <t>Вал магнитный (magnetic roller) для картриджей HP Laser Jet 1320</t>
  </si>
  <si>
    <t>Вал магнитный (magnetic roller) для картриджей HP Laser Jet 2035/2055</t>
  </si>
  <si>
    <t>Вал магнитный (magnetic roller) для картриджей HP Laser Jet 2420</t>
  </si>
  <si>
    <t>Вал магнитный (magnetic roller) для картриджей HP Laser Jet 4250</t>
  </si>
  <si>
    <t>Вал магнитный (magnetic roller) для картриджей HP Laser Jet M104/M132, CF218A, CF217A, CF230A, CF234A, 047</t>
  </si>
  <si>
    <t>Вал магнитный (magnetic roller) для картриджей HP Laser Jet M15/M28  CF244A</t>
  </si>
  <si>
    <t>Вал магнитный (magnetic roller) для картриджей HP Laser Jet P1005 1008 1505 1522 278 285 435 436</t>
  </si>
  <si>
    <t>Вал магнитный Samsung ML-1660/1860;SCX-3200 (D104)</t>
  </si>
  <si>
    <t>Вал магнитный Samsung ML-2160/M2020;SCX-3400 (D101/D111)</t>
  </si>
  <si>
    <t>Вал резиновый (нижний, прижимной) Samsung ML-2850/3310/XEROX 3250/3210</t>
  </si>
  <si>
    <t>Вал резиновый (прижимной) HP LJ 1160/1320/M2727/P2015</t>
  </si>
  <si>
    <t>Вал резиновый HP LJ 1010</t>
  </si>
  <si>
    <t>Вал резиновый HP LJ 1022</t>
  </si>
  <si>
    <t>Вал резиновый HP LJ 2400</t>
  </si>
  <si>
    <t>Вал резиновый HP LJ M104/M132</t>
  </si>
  <si>
    <t>Вал резиновый HP LJ p1005</t>
  </si>
  <si>
    <t>Вал резиновый Samsung ML-1710/SCX-4200</t>
  </si>
  <si>
    <t>.230420</t>
  </si>
  <si>
    <t>Вал тефлоновый Samsung ML-1710/SCX-4200/Xerox PE16</t>
  </si>
  <si>
    <t>Вал тефлоновый Samsung ML-2850/3310/XEROX 3250/3210</t>
  </si>
  <si>
    <t>Втулка магнитного вала BASF для HP LJ 1010/1020/1022 (BASF-MRBHP1010) комплект</t>
  </si>
  <si>
    <t>Втулка магнитного вала BASF для HP LJ Pro M402/426 (BASF-BSHMR-CF226A_X) комплект</t>
  </si>
  <si>
    <t>Двигатель каретки в зборе Epson Stylus Photo 1400/1410/R1900/R2880 (2112637)</t>
  </si>
  <si>
    <t>Двигатель каретки в сборе Epson Stylus Photo R285/R295/R290P50/T50/T59/L800 (2116693)</t>
  </si>
  <si>
    <t xml:space="preserve">Держатель шлейфа для СНПЧ - клипса (система непрерывной подачи чернил), пластиковая планка для крепления шлейфа в СНПЧ </t>
  </si>
  <si>
    <t xml:space="preserve">Заправка лазерного картриджа </t>
  </si>
  <si>
    <t xml:space="preserve">Заправка струйного картриджа </t>
  </si>
  <si>
    <t>Ізопропанол WWM для очистки лезий, фотобарабанов 100мл (CL07)</t>
  </si>
  <si>
    <t>Кабель USB 2.0 AM-BM 30AWG 1.8M</t>
  </si>
  <si>
    <t>Кабель VGA M-M 30AWG 2 ferrites 1.8M</t>
  </si>
  <si>
    <t>Кабель питания 1.2м</t>
  </si>
  <si>
    <t>Картридж  лазерный W1106A для HP Laser 107a/107r/MFP135a/135r/135w/137, 1K (без чипа)</t>
  </si>
  <si>
    <t>.240410</t>
  </si>
  <si>
    <t>Картридж  лазерный W1106AL для HP Laser 107a/107r/MFP135a/135r/135w/137, 5K (без чипа)</t>
  </si>
  <si>
    <t>Картридж для СНПЧ (система непрерывной подачи чернил) Epson  L800, L210,  (1 штука) без чипа, без чернил</t>
  </si>
  <si>
    <t>Картридж для СНПЧ (система непрерывной подачи чернил) Epson T50 (1 штука) без чипа, без чернил</t>
  </si>
  <si>
    <t>Картридж лазерный (211EV) для Pantum P2200/P2207/P2507/P2500W/M6500/6550/6607, 1,6К</t>
  </si>
  <si>
    <t>Картридж лазерный Brother HL-2030/2035/TN-2375/TN-2375</t>
  </si>
  <si>
    <t>Картридж лазерный C128/328/728/H278A</t>
  </si>
  <si>
    <t>.230417</t>
  </si>
  <si>
    <t>Картридж лазерный CF217A/047 canon LBP-112/113</t>
  </si>
  <si>
    <t>Картридж лазерный CF244A LaserJet Pro / LJP-M15 LaserJet Pro / LJP-M16 LaserJet Pro / LJP-M28 LaserJet Pro</t>
  </si>
  <si>
    <t>Картридж лазерный CF279A</t>
  </si>
  <si>
    <t>Картридж лазерный CF283X/C137/337/737</t>
  </si>
  <si>
    <t>Картридж лазерный E16 (совместимый)</t>
  </si>
  <si>
    <t>.230307</t>
  </si>
  <si>
    <t>Картридж лазерный EP-27 Canon LBP 3200/MF3110/MF5630/5650/1800/1840/2140/3210</t>
  </si>
  <si>
    <t>Картридж лазерный HP LaserJet (505A) P2035/P2035N/P2050/P2055/Canon 6300/6650/MF-5840/5880/5940</t>
  </si>
  <si>
    <t>.210514</t>
  </si>
  <si>
    <t>Картридж лазерный HP LaserJet 1160/1320/P2014/P2015/Canon LBP-3300/3360/3370</t>
  </si>
  <si>
    <t xml:space="preserve">Картридж лазерный HP LaserJet Pro (218a) M132a, M132fn, M132fw, M132nw, M104a, M104w </t>
  </si>
  <si>
    <t>Картридж лазерный HP LJ 2612A/C103/303/703/FX9/10/L90/C104</t>
  </si>
  <si>
    <t>Картридж лазерный HP LJ 285A/Canon 725</t>
  </si>
  <si>
    <t>Картридж лазерный HP LJ 5949A/7553A</t>
  </si>
  <si>
    <t>Картридж лазерный HP LJ 7115A/2613A/2624A/EP-25</t>
  </si>
  <si>
    <t>Картридж лазерный HP LJ EP-22 (092)</t>
  </si>
  <si>
    <t>Картридж лазерный HP LJ M203/MFP M227 CF230</t>
  </si>
  <si>
    <t>Картридж лазерный Samsung D115L</t>
  </si>
  <si>
    <t>Картридж лазерный Samsung ML D111S NewVersion</t>
  </si>
  <si>
    <t>Картридж лазерный Samsung ML-1210</t>
  </si>
  <si>
    <t>Картридж лазерный Samsung Ml-1610/1615/2010/2015</t>
  </si>
  <si>
    <t>Картридж лазерный Samsung Ml-1640/1641/2240/2241 (D108)</t>
  </si>
  <si>
    <t>Картридж лазерный Samsung ML-1710</t>
  </si>
  <si>
    <t>Картридж лазерный Samsung ML-D101</t>
  </si>
  <si>
    <t>Картридж лазерный Samsung SCX-3200/Ml 1661 (D104)</t>
  </si>
  <si>
    <t>Картридж лазерный Samsung SCX-4200</t>
  </si>
  <si>
    <t>Картридж лазерный Samsung SCX-4300</t>
  </si>
  <si>
    <t>Картридж лазерный XEROX Phaser 3100</t>
  </si>
  <si>
    <t>Картридж струйный Canon Pixma MG2140/MG3140, CL-441 Color</t>
  </si>
  <si>
    <t>Картридж струйный Canon Pixma MG2140/MG3140, PG-440 Black</t>
  </si>
  <si>
    <t>Картридж струйный Canon Pixma MP210 Black (37) Black</t>
  </si>
  <si>
    <t>Картридж струйный Canon Pixma MP230/MP250/MP270 PG-510Bk Black</t>
  </si>
  <si>
    <t>Картридж струйный Canon Pixma MP230/MP250/MP270 PG-511CL Color</t>
  </si>
  <si>
    <t>Картридж струйный Canon Pixma MP2540s 445 Black</t>
  </si>
  <si>
    <t>Картридж струйный Canon Pixma MP2540s 446 Color</t>
  </si>
  <si>
    <t>Картридж струйный HP DJ 1050/2050/3050 HP №122 Black CH561HE</t>
  </si>
  <si>
    <t>Картридж струйный HP DJ 2130 HP 123 Black (F6V17AE)</t>
  </si>
  <si>
    <t>Картридж струйный HP DJ 2130 HP 123 Color (F6V16AE)</t>
  </si>
  <si>
    <t>Картридж струйный HP DJ 2320/2710/4120, HP DJ 305 Black</t>
  </si>
  <si>
    <t>Картридж струйный HP DJ 2320/2710/4120, HP DJ 305 Color</t>
  </si>
  <si>
    <t>Картридж струйный HP DJ Ink Advantage 2515 HP 650 Black (CZ101AE)</t>
  </si>
  <si>
    <t>Картридж струйный HP DJ Ink Advantage 2515 HP 650 Color (CZ102AE)</t>
  </si>
  <si>
    <t>Картридж струйный HP Officejet J5783/J6483 HP 140 Black CB335HE</t>
  </si>
  <si>
    <t>Картридж струйный MicroJet для HP DJ 21XL/DJ3920/3940 C9351CE 20ml</t>
  </si>
  <si>
    <t>Картридж струйный MicroJet для HP DJ 22XL/DJ3920/3940 C9352CE 17ml</t>
  </si>
  <si>
    <t>Картридж струйный MicroJet для HP DJ 850C/1100C/1600C аналог HP №45 Black HC-05</t>
  </si>
  <si>
    <t>Картридж струйный MicroJet для HP DJ 930C/950C/970C аналог HP №78 (C6578D) Color HC-06</t>
  </si>
  <si>
    <t>Коннектор шлейфа к картриджу, угловой Г образный для СНПЧ (система непрерывной подачи чернил), Пластиковая трубка Г образной формы для соединения картриджа со шлейфом</t>
  </si>
  <si>
    <t>Лезвие дозирования (Doctor blade) HP LJ 1010/1160/1320/P2015</t>
  </si>
  <si>
    <t>Лезвие дозирования (Doctor blade) HP LJ 1100 (EP22)</t>
  </si>
  <si>
    <t>Лезвие дозирования (Doctor blade) HP LJ 1320</t>
  </si>
  <si>
    <t>Лезвие дозирования (Doctor blade) HP LJ 4250</t>
  </si>
  <si>
    <t>Лезвие дозирования (Doctor blade) HP LJ P1005/P1102</t>
  </si>
  <si>
    <t>Лезвие дозирования (Doctor blade) Samsung ML-1210/1250</t>
  </si>
  <si>
    <t>Лезвие дозирования (Doctor blade) Samsung ML-1610/2015</t>
  </si>
  <si>
    <t>Лезвие дозирования (Doctor blade) Samsung ML-1660/1860;SCX-3200 (D104)</t>
  </si>
  <si>
    <t>Лезвие дозирования (Doctor blade) Samsung ML-1710;SCX-4200</t>
  </si>
  <si>
    <t>Лезвие дозирования (Doctor blade) Samsung ML-M2020/2070;SCX-3400 (D101)</t>
  </si>
  <si>
    <t>Лезвие дозирования (Doctor blade) для Brother HL-1030/1230</t>
  </si>
  <si>
    <t>Лезвие чистящее HP LJ 1010/1160/1320/P2015</t>
  </si>
  <si>
    <t>Лезвие чистящее HP LJ p1005 (85a, 725, 728, 83a,79a)</t>
  </si>
  <si>
    <t>Лезвие чистящее Samsung ML-1610/2010</t>
  </si>
  <si>
    <t>Лезвие чистящее Samsung ML-1661/1861/SCX-3200 (D104)</t>
  </si>
  <si>
    <t>Лезвие чистящее Samsung ML-1910/2850/SCX-4600/4623</t>
  </si>
  <si>
    <t>Лезвие чистящее Samsung ML-2160/SCX-3400 (D101)</t>
  </si>
  <si>
    <t>Лезвие чистящее для Pantum P2200/P2207/P2500/P2500W/P2507/M6500/M6550/M6607 (PC-211EV)</t>
  </si>
  <si>
    <t>Лента красящая WWM 13мм х 10м (12,7мм x 10м) STD кольце  Black (R13.10S5)</t>
  </si>
  <si>
    <t>Накладка тормозной площадки для SAMSUNG ML-1710/1750 SCX-4200/4300</t>
  </si>
  <si>
    <t>ОПТ (разное)</t>
  </si>
  <si>
    <t>Перезаправляемые картриджи для Epson T0731-4 (комплект, 4 штуки, с чипами)</t>
  </si>
  <si>
    <t>Перезаправляемые картриджи для Epson T0801-6 (комплект, 6 штук, с чипами)</t>
  </si>
  <si>
    <t>Перезаправляемые картриджи для Epson T0821-6 (комплект, 6 штук, с чипами)</t>
  </si>
  <si>
    <t>Перезаправляемые картриджи для Epson T0921-4 (комплект, 4 штуки, с чипами)</t>
  </si>
  <si>
    <t>Перезаправляемые картриджи для Epson T1281-4 (комплект, 4 штуки, без чипов)</t>
  </si>
  <si>
    <t>Перезаправляемые картриджи для Epson T1281-4 (комплект, 4 штуки, с чипами)</t>
  </si>
  <si>
    <t>Перезаправляемые картриджи для Epson T1291-4 (комплект, 4 штуки, с чипами)</t>
  </si>
  <si>
    <t>Перезаправляемые картриджи для Epson T1711-4 (комплект, 4 штуки, с чипами)</t>
  </si>
  <si>
    <t>Перезаправляемые картриджи для Epson TX117/T0921-4 (комплект, 4 штуки, без чипов)</t>
  </si>
  <si>
    <t>Планка з чипами WWM для СНПЧ Epson Expression Home XP-313/XP-413</t>
  </si>
  <si>
    <t>Планка з чипами WWM для СНПЧ Epson Stylus C91/CX4300</t>
  </si>
  <si>
    <t>Планка з чипами WWM для СНПЧ Epson Stylus S22/SX125/XS130</t>
  </si>
  <si>
    <t>Планка з чипами WWM для СНПЧ Epson Stylus SX420W/SX425W</t>
  </si>
  <si>
    <t>Планка з чипами WWM для СНПЧ Epson Stylus T50/TX650/TX659</t>
  </si>
  <si>
    <t>Планка з чипами WWM для СНПЧ Epson Stylus TX109/TX117/TX119</t>
  </si>
  <si>
    <t>Планка з чипами WWM для СНПЧ Epson Stylus TX219/TX419/TX600FW</t>
  </si>
  <si>
    <t>Планка з чипами WWM для СНПЧ Epson WorkForce WF-7110W</t>
  </si>
  <si>
    <t>Планка чипов для картриджей Epson T0731-4 (1 штука)</t>
  </si>
  <si>
    <t>Планка чипов для картриджей Epson T0921-4 (1 штука)</t>
  </si>
  <si>
    <t>Планка чипов для картриджей Epson T1281-4 (1 штука)</t>
  </si>
  <si>
    <t>Планка чипов для картриджей Epson T1291-4 (1 штука)</t>
  </si>
  <si>
    <t>Планка чипов для картриджей Epson T1711-4 (1 штука)</t>
  </si>
  <si>
    <t>Планка чипов для картриджей Epson T8011-6 (1 штука)</t>
  </si>
  <si>
    <t>Планка чипов для картриджей Epson T8211-4 (1 штука)</t>
  </si>
  <si>
    <t xml:space="preserve">Принтер восстановленный </t>
  </si>
  <si>
    <t>Принтер МФУ Pantum M6500 (картридж PC-211)</t>
  </si>
  <si>
    <t>Прошивка принтера</t>
  </si>
  <si>
    <t>Резиновый  уплотнитель углового коннектора шлейфа к картриджу для СНПЧ</t>
  </si>
  <si>
    <t>Резиновый  уплотнитель углового коннектора шлейфа к картриджу для СНПЧ (длинный)</t>
  </si>
  <si>
    <t>Ремонт копировального аппарата</t>
  </si>
  <si>
    <t>Ремонт лазерного принтера</t>
  </si>
  <si>
    <t>Ремонт струйного принтера</t>
  </si>
  <si>
    <t>РОЗНИЦА (разное)</t>
  </si>
  <si>
    <t>Ролик захвата бумаги (резинка) для HP LJ  RL1-0540 RL1-0542 RL1-2891 RM1-3763 RM1-6313 RM1-6414 1320 для HP 2035 P3005 P3015 2055 2727</t>
  </si>
  <si>
    <t>.230731</t>
  </si>
  <si>
    <t>Ролик захвата бумаги (резинка) для HP LJ 1010/1022</t>
  </si>
  <si>
    <t>Ролик захвата бумаги (резинка) для HP LJ 1160/1320/2100 аналог RB2-2891-000</t>
  </si>
  <si>
    <t>Ролик захвата бумаги (резинка) для SAMSUNG ML-1210/1250 XEROX Fh 3110/3210</t>
  </si>
  <si>
    <t>Ролик захвата бумаги (резинка) для SAMSUNG ML-1610</t>
  </si>
  <si>
    <t>Ролик захвата бумаги (резинка) для SAMSUNG ML-1661 (D104)</t>
  </si>
  <si>
    <t>Ролик захвата бумаги (резинка) для SAMSUNG ML-1710/1750, SCX-4200/4300</t>
  </si>
  <si>
    <t>Ролик захвата бумаги (резинка) для SAMSUNG ML-2160 (D101)</t>
  </si>
  <si>
    <t>Ролик захвата бумаги (резинка) для SAMSUNG ML-2570/2510/SCX-4725</t>
  </si>
  <si>
    <t>Ролик захвата в Epson L3110 L3150 L4150 L4160 L3156 L3151 L1110 L3158 L3160 L4158 L4168 L4170</t>
  </si>
  <si>
    <t>Ролик захвата в сборе на оси Epson XP-33/303/306 (1569314/1573559)</t>
  </si>
  <si>
    <t>Ролик захвата на оси в сборе Epson Stylus Photo R265/R270/R290/P50/T50 (1466932)</t>
  </si>
  <si>
    <t>Ролик отделения в сборе Epson L110/L210/L310 (1569311/1575162)</t>
  </si>
  <si>
    <t>Ролик отделения в сборе Epson Stylus Photo R265/R270/R290/P50/T50 (1447353)</t>
  </si>
  <si>
    <t>Ролик подачи бумаги Epson R1410 (для принтеров)</t>
  </si>
  <si>
    <t>Ролик подачи бумаги Epson R290 / 270 / T50 / L800 (для принтеров)</t>
  </si>
  <si>
    <t>Ролик подачи бумаги Epson SX 130/XP406 (для принтеров)</t>
  </si>
  <si>
    <t>Ролик подачи бумаги для принтеров HP Laser Jet (для принтеров)</t>
  </si>
  <si>
    <t>Ролик подачи бумаги для принтеров Samsung (для принтеров)</t>
  </si>
  <si>
    <t>Ролик подачи тонера  Samsung ML-1661/1861/SCX-3200 (D104) (фетровый)</t>
  </si>
  <si>
    <t>Ролик подачи тонера Samsung ML-1610/SCX-3200 (фетровый)</t>
  </si>
  <si>
    <t>Ролик подачи тонера Samsung ML-1710/SCX-4200 (фетровый)</t>
  </si>
  <si>
    <t>Сетевой фильтр 10А DT-SPN05-10-1,8M</t>
  </si>
  <si>
    <t>СНПЧ (система непрерывной подачи чернил) Банка (1 штука)</t>
  </si>
  <si>
    <t>СНПЧ (система непрерывной подачи чернил) для Canon MP 250/280 (1 штука) без чипа, без чернил</t>
  </si>
  <si>
    <t>СНПЧ (система непрерывной подачи чернил) для Epson T50/P50 (1 штука) без чипа, без чернил</t>
  </si>
  <si>
    <t>СНПЧ (система непрерывной подачи чернил) для Epson TX 210/TX117/SX230 (1 штука) без чипа, без чернил</t>
  </si>
  <si>
    <t>Средство Hi-Black для очистки и восстановления резиновых роликов, 100 мл.</t>
  </si>
  <si>
    <t>Термопленка для HP LJ 1010/1200/P2035/p1102/M104/M132</t>
  </si>
  <si>
    <t>Термопленка для HP LJ 1100/3200/LP-800/810/1120</t>
  </si>
  <si>
    <t>Термопленка для HP LJ 2015/2035/M401/M425</t>
  </si>
  <si>
    <t>Термопленка для HP LJ 4250 (металлизированная)</t>
  </si>
  <si>
    <t>Термопленка для HP LJ P3015/M521/M525</t>
  </si>
  <si>
    <t>Термосмазка Foshan 2г (G-300-50-Foshan)</t>
  </si>
  <si>
    <t>Тонер  Xerox Phaser 3010/3040/WC3045 (40гр)</t>
  </si>
  <si>
    <t>Тонер Aficio 1013/1515/MP2015/1022/3025 Gestetner Black (230гр)</t>
  </si>
  <si>
    <t>Тонер Black для HP LJ Pro 400 M401/M425, Тип 2.2, Bk, 1 кг, канистра</t>
  </si>
  <si>
    <t>Тонер Brother Universal (100г)</t>
  </si>
  <si>
    <t>Тонер Brother Universal (500г)</t>
  </si>
  <si>
    <t>Тонер Canon NP-1215 (1 кг)</t>
  </si>
  <si>
    <t>Тонер Canon PC/FC (140гр)</t>
  </si>
  <si>
    <t>Тонер Delacamp Универсальный UT 1917 для HP LJ, Bk, 1 кг, канистра</t>
  </si>
  <si>
    <t>Тонер Hi-Black для Pantum Универсальный, Bk, Тип 3.1, 500 г, канистра</t>
  </si>
  <si>
    <t>Тонер HP LJ 1010/1022 (100г)</t>
  </si>
  <si>
    <t>Тонер HP LJ 1010/1022 (500г)</t>
  </si>
  <si>
    <t>Тонер HP LJ 2600 Color (40гр)</t>
  </si>
  <si>
    <t>Тонер HP LJ M102/M104 (18a, 17a) (50г)</t>
  </si>
  <si>
    <t>Тонер HP LJ p1005 (100г)</t>
  </si>
  <si>
    <t>Тонер HP LJ p1005 (500г)</t>
  </si>
  <si>
    <t>Тонер HP LJ Universal (100г)</t>
  </si>
  <si>
    <t>Тонер HP LJ Universal (500г)</t>
  </si>
  <si>
    <t>Тонер Imex Универсальный для HP LJ P1005, Тип CMG-L, Bk, 1 кг, канистра</t>
  </si>
  <si>
    <t>Тонер Konica Minolta bizhub 165/185/215/226 (280г)</t>
  </si>
  <si>
    <t>Тонер Kyocera ECOSYS TK-1140/TK-1100: M2035, M2535, FS: 1024, 1110, TK-1125 (100г)</t>
  </si>
  <si>
    <t>Тонер Kyocera ECOSYS TK-1140/TK-1100: M2035, M2535, FS: 1024, 1110, TK-1125 (500г)</t>
  </si>
  <si>
    <t>Тонер Kyocera ECOSYS TK-1140/TK-1100: M2035, M2535, FS: 1024, 1110, TK-1125 (900г)</t>
  </si>
  <si>
    <t>Тонер Kyocera ECOSYS: FS Color Universal ATM Black</t>
  </si>
  <si>
    <t>Тонер Kyocera ECOSYS: FS Color Universal ATM Cyan</t>
  </si>
  <si>
    <t>Тонер Kyocera ECOSYS: FS Color Universal ATM Majenta</t>
  </si>
  <si>
    <t>Тонер Kyocera ECOSYS: FS Color Universal ATM Yellow</t>
  </si>
  <si>
    <t>Тонер Panasonic KX MB 1900/2000/2030 (KX-FAT411A7) (65g)</t>
  </si>
  <si>
    <t>Тонер Samsung CLP-300 Color (40гр)</t>
  </si>
  <si>
    <t>Тонер Samsung ML-1210/1710/SCX-4200 (  90г)</t>
  </si>
  <si>
    <t>Тонер Samsung ML-1210/1710/SCX-4200 (500г)</t>
  </si>
  <si>
    <t>Тонер Samsung ML-D101S/D111S/D115L (  90г)</t>
  </si>
  <si>
    <t>Тонер Samsung ML-D101S/D111S/D115L (500г)</t>
  </si>
  <si>
    <t>Тонер Static  Control Универсальный для HP LJ Р1606/Р2035, MPT10, Bk, 1 кг, флакон</t>
  </si>
  <si>
    <t>Тонер Static Control для HP LJ P1005/1006/1505, MPT7, Bk, 1 кг, флакон</t>
  </si>
  <si>
    <t>Тонер Static Control для HP LJ P1606/P1102/M201, 1 кг, флакон</t>
  </si>
  <si>
    <t>Тонер Static Control для HP LJ PM104/132, Bk, 1 кг, флакон</t>
  </si>
  <si>
    <t>Тонер Static Control для Kyocera FS-1130/4300 (TK-1140/TK-3130), KYTKUNIV, Bk, 1 кг, флакон</t>
  </si>
  <si>
    <t>Тонер Static Control Универсальный для HP LJ 1010/1200, MPT9, Bk, 1 кг, флакон</t>
  </si>
  <si>
    <t>Тонер Static Control Универсальный для HP LJ 1200/4100/5000, MPT5, Bk, 1 кг, флакон</t>
  </si>
  <si>
    <t>Тонер Static Control Универсальный для Samsung ML1610/1710/2010/2250, Bk, 1 кг, флакон</t>
  </si>
  <si>
    <t>Тонер-картридж TN-116/TN-118 для Konica Minolta Bizhub164/185 (Туба)</t>
  </si>
  <si>
    <t>Тормозная площадка Epson L3110 L3150 L4150 L4160 L3156 L3151 L1110 L3158 L3160 L4158 L4168 L4170</t>
  </si>
  <si>
    <t>Тормозная площадка для HP LJ 1010/1022</t>
  </si>
  <si>
    <t>Тормозная площадка для Samsung ML-1210</t>
  </si>
  <si>
    <t>Тормозная площадка для Samsung ML-1610/1640</t>
  </si>
  <si>
    <t>Тормозная площадка для SAMSUNG ML-2570/2510/SCX-4725/XEROX 3124</t>
  </si>
  <si>
    <t>.230413</t>
  </si>
  <si>
    <t>Тормозная площадка для принтеров Epson (для принтеров) Epson Epson SX 130/XP 406</t>
  </si>
  <si>
    <t>Тормозная площадка для принтеров Epson (для принтеров) Epson R1410</t>
  </si>
  <si>
    <t>Тормозная площадка для принтеров Epson (для принтеров) Epson R290/270/T50/L800</t>
  </si>
  <si>
    <t>Уплотнительное лезвие магнитного вала Samsung ML-285</t>
  </si>
  <si>
    <t>Флажек выхода датчика бумаги бумаги из печки для Samsung ML-1750</t>
  </si>
  <si>
    <t>Фотобарабан для Canon IR-2016/2018/2020</t>
  </si>
  <si>
    <t>Фотобарабан для принтера Brother 2500</t>
  </si>
  <si>
    <t>Фотобарабан для принтера Brother DR-1075, DR-1095</t>
  </si>
  <si>
    <t>Фотобарабан для принтера Canon CF226A</t>
  </si>
  <si>
    <t>Фотобарабан для принтера HP Laser 107/135/137 (W1106A)</t>
  </si>
  <si>
    <t xml:space="preserve">Фотобарабан для принтера HP LJ 1010/1012/1015/1020/1018       </t>
  </si>
  <si>
    <t>Фотобарабан для принтера HP LJ 1100</t>
  </si>
  <si>
    <t>Фотобарабан для принтера HP LJ 1160</t>
  </si>
  <si>
    <t>Фотобарабан для принтера HP LJ 1200</t>
  </si>
  <si>
    <t>Фотобарабан для принтера HP LJ 2400</t>
  </si>
  <si>
    <t>Фотобарабан для принтера HP LJ 4200/4300</t>
  </si>
  <si>
    <t>Фотобарабан для принтера HP LJ 505A/280A</t>
  </si>
  <si>
    <t>Фотобарабан для принтера HP LJ CF255</t>
  </si>
  <si>
    <t>Фотобарабан для принтера HP LJ M104/M203/M102/M130/M132 (219a)</t>
  </si>
  <si>
    <t>Фотобарабан для принтера HP LJ OPC-HCF244A</t>
  </si>
  <si>
    <t>Фотобарабан для принтера HP LJ P1005/435A/436A/285A/283A</t>
  </si>
  <si>
    <t>Фотобарабан для принтера HP LJ P3015</t>
  </si>
  <si>
    <t>Фотобарабан для принтера Panasonik KX MB 1900</t>
  </si>
  <si>
    <t>Фотобарабан для принтера Pantum P2200 (PC211), без шестеренок</t>
  </si>
  <si>
    <t>Фотобарабан для принтера Pantum P2200 (PC211), с шестеренками</t>
  </si>
  <si>
    <t>Фотобарабан для принтера Pantum для картриджа PC211, с шестеренками</t>
  </si>
  <si>
    <t>Фотобарабан для принтера Samsung (D105) ML2850/2851/2855/1910/1915/ 2525/SCX4600/4828, Xerox PH 3250/3140/3166/3160/3250, WC3210/3220 (Green color)</t>
  </si>
  <si>
    <t>Фотобарабан для принтера Samsung (D209) ML-2850/2851/2852/2855/1910/SCX-4824/4826/ 4828/Xerox Phaser 3250/WC-3210/3220</t>
  </si>
  <si>
    <t>Фотобарабан для принтера Samsung ML-1210</t>
  </si>
  <si>
    <t>Фотобарабан для принтера Samsung ML-1610</t>
  </si>
  <si>
    <t>Фотобарабан для принтера Samsung ML-1630/1661 SCX-3200</t>
  </si>
  <si>
    <t>Фотобарабан для принтера Samsung ML-1710/SCX-4200/4300</t>
  </si>
  <si>
    <t>Фотобарабан для принтера Samsung ML-1910/2850</t>
  </si>
  <si>
    <t>Фотобарабан для принтера Samsung ML-2160/2020/SCX-3400</t>
  </si>
  <si>
    <t>Фотобарабан для принтера SAMSUNG ML-3310/M2870(D115L) (39 зубцов)</t>
  </si>
  <si>
    <t>Фотобарабан для принтера SAMSUNG ML-3310/M2870(D115L) (59 зубцов)</t>
  </si>
  <si>
    <t>Фотобарабан для принтера Samsung MLT-D103S, MLT-D103L, MLT-D115L, MLT-D116L, Xerox 106R02778, 106R02782, 101R00474.</t>
  </si>
  <si>
    <t>Фотобарабан для принтера Samsung Xpress M-2020</t>
  </si>
  <si>
    <t>Фотобарабан для принтера XEROX P8E</t>
  </si>
  <si>
    <t>Фотобумага Hi-Image Paper глянцевая односторонняя, A4, 230 г/м2, 100 л.</t>
  </si>
  <si>
    <t>Фотобумага Hi-Image Paper матовая односторонняя, A4, 230 г/м2, 100 л.</t>
  </si>
  <si>
    <t>Фотобумага NetProduct глянцевая односторонняя, 10x15 см, 230 г/м2, 500 л.</t>
  </si>
  <si>
    <t>Чернила Canon 100мл (Лицензия) Black</t>
  </si>
  <si>
    <t>Чернила Canon 100мл (Лицензия) Cyan</t>
  </si>
  <si>
    <t>Чернила Canon 100мл (Лицензия) Majenta</t>
  </si>
  <si>
    <t>Чернила Canon 100мл (Лицензия) Yellou</t>
  </si>
  <si>
    <t>Чернила Canon 100мл Black</t>
  </si>
  <si>
    <t>Чернила Canon 100мл Black Pigment</t>
  </si>
  <si>
    <t>Чернила Canon 100мл Cyan</t>
  </si>
  <si>
    <t>Чернила Canon 100мл Majenta</t>
  </si>
  <si>
    <t>Чернила Canon 100мл Yellou</t>
  </si>
  <si>
    <t>Чернила Epson T50 100мл (Лицензия) Black</t>
  </si>
  <si>
    <t>Чернила Epson T50 100мл (Лицензия) Cyan</t>
  </si>
  <si>
    <t>Чернила Epson T50 100мл (Лицензия) LiteCyan</t>
  </si>
  <si>
    <t>Чернила Epson T50 100мл (Лицензия) LiteMajenta</t>
  </si>
  <si>
    <t>Чернила Epson T50 100мл (Лицензия) Majenta</t>
  </si>
  <si>
    <t>Чернила Epson T50 100мл (Лицензия) Yellou</t>
  </si>
  <si>
    <t>Чернила Epson T50 100мл Black</t>
  </si>
  <si>
    <t>Чернила Epson T50 100мл Cyan</t>
  </si>
  <si>
    <t>Чернила Epson T50 100мл LiteCyan</t>
  </si>
  <si>
    <t>Чернила Epson T50 100мл LiteMajenta</t>
  </si>
  <si>
    <t>Чернила Epson T50 100мл Majenta</t>
  </si>
  <si>
    <t>Чернила Epson T50 100мл Yellou</t>
  </si>
  <si>
    <t>Чернила HP 100мл Black</t>
  </si>
  <si>
    <t>Чернила HP 100мл Black Pigment</t>
  </si>
  <si>
    <t>Чернила HP 100мл Cyan</t>
  </si>
  <si>
    <t>Чернила HP 100мл Majenta</t>
  </si>
  <si>
    <t>Чернила HP 100мл Yellou</t>
  </si>
  <si>
    <t>Чип HP Color Black (C35) CF210A</t>
  </si>
  <si>
    <t>.210505</t>
  </si>
  <si>
    <t>Чип SAMSUNG M2020/M2070 (D111) New Version</t>
  </si>
  <si>
    <t>Чип SAMSUNG ML-2160/SCX-3400 (D101)</t>
  </si>
  <si>
    <t>Чип WWM для Samsung CLP-300/CLX2160/3160 Black (CSC300B)</t>
  </si>
  <si>
    <t>.210104</t>
  </si>
  <si>
    <t>Чип WWM для Samsung CLP-300/CLX2160/3160 Cyan (CSC300C)</t>
  </si>
  <si>
    <t>Чип WWM для Samsung CLP-300/CLX2160/3160 Magenta (CSC300M)</t>
  </si>
  <si>
    <t>Чип WWM для Samsung CLP-300/CLX2160/3160 Yellow (CSC300Y)</t>
  </si>
  <si>
    <t>Чип WWM для НПК Epson Stylus Photo P50/PX660/PX720WD Black (CR.T0801)</t>
  </si>
  <si>
    <t>Чип WWM для НПК Epson Stylus Photo P50/PX660/PX720WD Cyan (CR.T0802)</t>
  </si>
  <si>
    <t>Чип WWM для НПК Epson Stylus Photo P50/PX660/PX720WD Lиght Cyan (CR.T0805)</t>
  </si>
  <si>
    <t>Чип WWM для НПК Epson Stylus Photo P50/PX660/PX720WD Lиght Magenta (CR.T0806)</t>
  </si>
  <si>
    <t>Чип WWM для НПК Epson Stylus Photo P50/PX660/PX720WD Magenta (CR.T0803)</t>
  </si>
  <si>
    <t>Чип WWM для НПК Epson Stylus Photo P50/PX660/PX720WD Yellow (CR.T0804)</t>
  </si>
  <si>
    <t>Чип WWM для НПК Epson Stylus S22/SX125/SX425W Black (CR.T1281N)</t>
  </si>
  <si>
    <t>Чип WWM для НПК Epson Stylus S22/SX125/SX425W Cyan (CR.T1282N)</t>
  </si>
  <si>
    <t>Чип WWM для НПК Epson Stylus S22/SX125/SX425W Magenta (CR.T1283N)</t>
  </si>
  <si>
    <t>Чип WWM для НПК Epson Stylus S22/SX125/SX425W Yellow (CR.T1284N)</t>
  </si>
  <si>
    <t>Чип для Samsung ML-1661/1861/1866 (JYD-Sam-D1043)</t>
  </si>
  <si>
    <t>Чип для Xerox Phaser 3010/3040/WC3045</t>
  </si>
  <si>
    <t>Чип для картриджа Pantum PC-211 (авточип) P2200/M6500</t>
  </si>
  <si>
    <t>Чипы для картриджей Epson T0921-4/4C (комплект, 4штуки)</t>
  </si>
  <si>
    <t>Чипы для картриджей Epson T1281-4/4C (комплект, 4штуки)</t>
  </si>
  <si>
    <t>Чипы для картриджей Epson T1291-4/4C (комплект, 4штуки)</t>
  </si>
  <si>
    <t>Чипы для картриджей Epson T1711-4/4C (комплект, 4штуки)</t>
  </si>
  <si>
    <t>Чистящая жидкость (100гр)</t>
  </si>
  <si>
    <t>Ш C13T04D000 T04D0 контейнер для обслуживания отработанных чернил для EPSON EcoTank Φ L7160 L7180 L7188 L7880</t>
  </si>
  <si>
    <t>Шестерня HP LJ 2035/2055 (27t) для колебательного узла</t>
  </si>
  <si>
    <t>Шестерня муфты Samsung ML-1510/1710/1610/ SCX-4200 привода термоблока</t>
  </si>
  <si>
    <t>Шестерня редуктора Samsung ML-1610/2010 привода термоблока</t>
  </si>
  <si>
    <t>Шестерня редуктора Samsung SCX-3400/3405 привода термоблока</t>
  </si>
  <si>
    <t>Шестерня тефлонового вала Samsung ML-1510/1710/1610/ SCX-4200</t>
  </si>
  <si>
    <t xml:space="preserve">Шестерня тефлонового вала Samsung ML-1510/1710/1610/ SCX-4200 </t>
  </si>
  <si>
    <t>Шлейф для СНПЧ (система непрерывной подачи чернил) (восьмиканальная пластиковая трубка)</t>
  </si>
  <si>
    <t>Шлейф для СНПЧ (система непрерывной подачи чернил) (шестиканальная пластиковая трубка)</t>
  </si>
  <si>
    <t>Шлейф для СНПЧ (система непрерывной подачи чернил) четырехканальный 1м</t>
  </si>
  <si>
    <t>Шлейф для СНПЧ (система непрерывной подачи чернил) шестиканальный 1.2м</t>
  </si>
  <si>
    <t>Шлейф планшетного сканера для HP LJ M1132</t>
  </si>
  <si>
    <t>Шлейф планшетного сканера совм для HP LJ M1536/P1566/P1606/CP1525,FF-M1536, соед. ADF и плату</t>
  </si>
  <si>
    <t>Шлейф сканера Samsung SCX-4200</t>
  </si>
  <si>
    <t>Розница</t>
  </si>
  <si>
    <t>20210101 00</t>
  </si>
  <si>
    <t>Лиля (Больница)</t>
  </si>
  <si>
    <t>20210101 01</t>
  </si>
  <si>
    <t>Розница разное ОПТ</t>
  </si>
  <si>
    <t>20210103 01</t>
  </si>
  <si>
    <t>Андрей (Ясиноватая)</t>
  </si>
  <si>
    <t>0713031515</t>
  </si>
  <si>
    <t>20210103 02</t>
  </si>
  <si>
    <t>Юрий (Снежное)</t>
  </si>
  <si>
    <t>0713798238</t>
  </si>
  <si>
    <t>20210129 01</t>
  </si>
  <si>
    <t>Артем Голубев+Тимофей+Игорь</t>
  </si>
  <si>
    <t>0713347913</t>
  </si>
  <si>
    <t>0951617232</t>
  </si>
  <si>
    <t>Наташа Алферова</t>
  </si>
  <si>
    <t>0713699176</t>
  </si>
  <si>
    <t>20210223 02</t>
  </si>
  <si>
    <t>Оля Импульс</t>
  </si>
  <si>
    <t>0713853526</t>
  </si>
  <si>
    <t>20210223 03</t>
  </si>
  <si>
    <t>Саша</t>
  </si>
  <si>
    <t xml:space="preserve">Нистеренко Наташа </t>
  </si>
  <si>
    <t>0713306420</t>
  </si>
  <si>
    <t>0502426174</t>
  </si>
  <si>
    <t>20210223 04</t>
  </si>
  <si>
    <t>Бумага</t>
  </si>
  <si>
    <t>Наташа Шахтерск</t>
  </si>
  <si>
    <t>0713260038</t>
  </si>
  <si>
    <t>20210223 05</t>
  </si>
  <si>
    <t>Михаил Донпринт</t>
  </si>
  <si>
    <t>0713030110</t>
  </si>
  <si>
    <t>20210223 06</t>
  </si>
  <si>
    <t>Рекламное агенство</t>
  </si>
  <si>
    <t>Богдан</t>
  </si>
  <si>
    <t>0713090610</t>
  </si>
  <si>
    <t>20210223 07</t>
  </si>
  <si>
    <t>Брич Евгений</t>
  </si>
  <si>
    <t>0713224491</t>
  </si>
  <si>
    <t>20210223 08</t>
  </si>
  <si>
    <t>Дед Мороз Александр Анатольевич</t>
  </si>
  <si>
    <t>0713751323</t>
  </si>
  <si>
    <t>20210223 09</t>
  </si>
  <si>
    <t>Гайваронская Наталья Владиславовна</t>
  </si>
  <si>
    <t>0713215803</t>
  </si>
  <si>
    <t>20210223 10</t>
  </si>
  <si>
    <t>Ира Гунько</t>
  </si>
  <si>
    <t>0713330637</t>
  </si>
  <si>
    <t>20210223 11</t>
  </si>
  <si>
    <t>Быкадоров Данил Снежное</t>
  </si>
  <si>
    <t>0713270040</t>
  </si>
  <si>
    <t>20210223 12</t>
  </si>
  <si>
    <t>Даша Золотое кольцо</t>
  </si>
  <si>
    <t>0714765177</t>
  </si>
  <si>
    <t>20210223 13</t>
  </si>
  <si>
    <t>Александр Владимирович фотограф</t>
  </si>
  <si>
    <t>0714663992</t>
  </si>
  <si>
    <t>20210223 14</t>
  </si>
  <si>
    <t>Липучки Алена Макеевка</t>
  </si>
  <si>
    <t>0714137173</t>
  </si>
  <si>
    <t>20210223 15</t>
  </si>
  <si>
    <t>ФЛП Барановский Александр</t>
  </si>
  <si>
    <t>20210307 01</t>
  </si>
  <si>
    <t xml:space="preserve">Ванин Сергей Алексеевич Докучаевск </t>
  </si>
  <si>
    <t>0713137284</t>
  </si>
  <si>
    <t>20210307 02</t>
  </si>
  <si>
    <t>НА ШАРУ - рынок</t>
  </si>
  <si>
    <t>20210307 03</t>
  </si>
  <si>
    <t>Игорь Львович Юра</t>
  </si>
  <si>
    <t>0713218918</t>
  </si>
  <si>
    <t>20210307 04</t>
  </si>
  <si>
    <t>196 Александр</t>
  </si>
  <si>
    <t>0713148348</t>
  </si>
  <si>
    <t>20210307 05</t>
  </si>
  <si>
    <t>Борис Викторович Енакиево Электроника</t>
  </si>
  <si>
    <t>20210307 06</t>
  </si>
  <si>
    <t>Сидоренко Петровка Донецк</t>
  </si>
  <si>
    <t>0713315352</t>
  </si>
  <si>
    <t>20210307 07</t>
  </si>
  <si>
    <t>ФЛП Чуприн Юра</t>
  </si>
  <si>
    <t>0713360190</t>
  </si>
  <si>
    <t>20210307 08</t>
  </si>
  <si>
    <t>Администрация</t>
  </si>
  <si>
    <t>20210307 09</t>
  </si>
  <si>
    <t>Людмила Степановна</t>
  </si>
  <si>
    <t>0713114488</t>
  </si>
  <si>
    <t>20210307 10</t>
  </si>
  <si>
    <t>Руслан Снежное</t>
  </si>
  <si>
    <t>20210307 11</t>
  </si>
  <si>
    <t>Игорь АБС ABC</t>
  </si>
  <si>
    <t>0713407565</t>
  </si>
  <si>
    <t>20210307 12</t>
  </si>
  <si>
    <t>Варлянский Валерий</t>
  </si>
  <si>
    <t>0713664072</t>
  </si>
  <si>
    <t>20210307 13</t>
  </si>
  <si>
    <t>ФЛП Кислякова-Осипенко</t>
  </si>
  <si>
    <t>0713397760</t>
  </si>
  <si>
    <t>20210307 14</t>
  </si>
  <si>
    <t>Юля Тан</t>
  </si>
  <si>
    <t>071</t>
  </si>
  <si>
    <t>20210307 15</t>
  </si>
  <si>
    <t>ФЛП Черевайко Андрей Николаевич</t>
  </si>
  <si>
    <t>0713190950</t>
  </si>
  <si>
    <t>20210307 16</t>
  </si>
  <si>
    <t>Еременко Дима</t>
  </si>
  <si>
    <t>0714671087</t>
  </si>
  <si>
    <t>20210307 17</t>
  </si>
  <si>
    <t>ФЛП Барбатун Вадим Олегович</t>
  </si>
  <si>
    <t>0714751449</t>
  </si>
  <si>
    <t>20210307 18</t>
  </si>
  <si>
    <t>Женя Полиграф</t>
  </si>
  <si>
    <t>20210307 19</t>
  </si>
  <si>
    <t>Самосват Александр</t>
  </si>
  <si>
    <t>0713338658</t>
  </si>
  <si>
    <t>20210307 20</t>
  </si>
  <si>
    <t>Яковленко Наталья</t>
  </si>
  <si>
    <t>0713338659</t>
  </si>
  <si>
    <t>20210307 21</t>
  </si>
  <si>
    <t>Шевченко Саша</t>
  </si>
  <si>
    <t>0713306227</t>
  </si>
  <si>
    <t>20210307 22</t>
  </si>
  <si>
    <t>Топорков Артем Торез</t>
  </si>
  <si>
    <t>0713726509</t>
  </si>
  <si>
    <t>20210307 23</t>
  </si>
  <si>
    <t>Тимошевский Виталий</t>
  </si>
  <si>
    <t>0713771819</t>
  </si>
  <si>
    <t>20210307 24</t>
  </si>
  <si>
    <t>ФЛП Павлюк Александр</t>
  </si>
  <si>
    <t>0714158409</t>
  </si>
  <si>
    <t>0713843781</t>
  </si>
  <si>
    <t>20210101 02</t>
  </si>
  <si>
    <t>Сергей Викторович ООО Селд</t>
  </si>
  <si>
    <t>0713825331</t>
  </si>
  <si>
    <t>20210101 03</t>
  </si>
  <si>
    <t>Денис Снежное 0714617355</t>
  </si>
  <si>
    <t>0714617355</t>
  </si>
  <si>
    <t>20210101 04</t>
  </si>
  <si>
    <t>Наташа Ясиноватая бартер</t>
  </si>
  <si>
    <t>0713091445</t>
  </si>
  <si>
    <t>20210101 05</t>
  </si>
  <si>
    <r>
      <rPr>
        <b/>
        <sz val="11"/>
        <color indexed="8"/>
        <rFont val="Courier New"/>
        <family val="3"/>
        <charset val="204"/>
      </rPr>
      <t>Игорь</t>
    </r>
    <r>
      <rPr>
        <sz val="11"/>
        <color indexed="8"/>
        <rFont val="Courier New"/>
        <family val="3"/>
        <charset val="204"/>
      </rPr>
      <t xml:space="preserve"> Пельмени</t>
    </r>
  </si>
  <si>
    <t>0713592605</t>
  </si>
  <si>
    <t>20210101 06</t>
  </si>
  <si>
    <t>Торговый Университет Владимир</t>
  </si>
  <si>
    <t>0713653269</t>
  </si>
  <si>
    <t>20210101 07</t>
  </si>
  <si>
    <t>Артебякина Светлана</t>
  </si>
  <si>
    <t>20210613 01</t>
  </si>
  <si>
    <t>Ганиев Ринат Горловка (Самоклейка)</t>
  </si>
  <si>
    <t>0713881856</t>
  </si>
  <si>
    <t>20210614 01</t>
  </si>
  <si>
    <t>Бандана</t>
  </si>
  <si>
    <t>0713227208</t>
  </si>
  <si>
    <t>20210615 00</t>
  </si>
  <si>
    <t>Игорь Николаевич Мельник Макеевка "Поиск" 0713976819</t>
  </si>
  <si>
    <t>0714106676</t>
  </si>
  <si>
    <t>ФЛП Александрова Инесса</t>
  </si>
  <si>
    <t>0713763159</t>
  </si>
  <si>
    <t>ФЛП Сыроквашина Светлана</t>
  </si>
  <si>
    <t>Ларичев</t>
  </si>
  <si>
    <t>0713819271</t>
  </si>
  <si>
    <t>Мищенко Сергей</t>
  </si>
  <si>
    <t>0713229414</t>
  </si>
  <si>
    <t>ФЛП Губанова</t>
  </si>
  <si>
    <t>0712391969</t>
  </si>
  <si>
    <t>ФЛП Гарбузов Александр</t>
  </si>
  <si>
    <t>Енакиево бумага</t>
  </si>
  <si>
    <t>0713518362</t>
  </si>
  <si>
    <t>Гена Назаркин ( 17 )</t>
  </si>
  <si>
    <t>0713076372</t>
  </si>
  <si>
    <t>ФЛП Буряк</t>
  </si>
  <si>
    <t>0713097963</t>
  </si>
  <si>
    <t>Роман Мачнев</t>
  </si>
  <si>
    <t>0713483130</t>
  </si>
  <si>
    <t>Бородин Андрей Владимирович</t>
  </si>
  <si>
    <t>0713546080</t>
  </si>
  <si>
    <t>Сиданич Вита</t>
  </si>
  <si>
    <t>0713962728</t>
  </si>
  <si>
    <t>ФЛП Арсенина</t>
  </si>
  <si>
    <t>Конорева Ирина г. Ждановка</t>
  </si>
  <si>
    <t>0713104406</t>
  </si>
  <si>
    <t>Булыга Борис</t>
  </si>
  <si>
    <t>0713131156</t>
  </si>
  <si>
    <t>Качалов Дима</t>
  </si>
  <si>
    <t>0714822942</t>
  </si>
  <si>
    <t>ООО СЕЛТ Павленко Сергей Викторович</t>
  </si>
  <si>
    <t>Сергей Директор</t>
  </si>
  <si>
    <t>0713496076</t>
  </si>
  <si>
    <t>Артем Шахтерск</t>
  </si>
  <si>
    <t>0715065904</t>
  </si>
  <si>
    <t>Роман Шевченко Комсомольск</t>
  </si>
  <si>
    <t>0713978430</t>
  </si>
  <si>
    <t>АНДРЕЙ 88</t>
  </si>
  <si>
    <t>0712013279</t>
  </si>
  <si>
    <t xml:space="preserve">Юля    </t>
  </si>
  <si>
    <t>МОБИ БУМ  Максим</t>
  </si>
  <si>
    <t>0713330880</t>
  </si>
  <si>
    <t>Ходорченко Виталий Викторович</t>
  </si>
  <si>
    <t>0715145571</t>
  </si>
  <si>
    <t>Алиса .Денис Макеевка</t>
  </si>
  <si>
    <t>Куница Роман</t>
  </si>
  <si>
    <t>0717054396</t>
  </si>
  <si>
    <t>Света (Наташа)</t>
  </si>
  <si>
    <t>0714284605</t>
  </si>
  <si>
    <t>Александ</t>
  </si>
  <si>
    <t>0713125055</t>
  </si>
  <si>
    <t>Марина Алчевск</t>
  </si>
  <si>
    <t>0721272088</t>
  </si>
  <si>
    <t>kod</t>
  </si>
  <si>
    <t>klient</t>
  </si>
  <si>
    <t>tel1</t>
  </si>
  <si>
    <t>tel2</t>
  </si>
  <si>
    <t>tel3</t>
  </si>
  <si>
    <t>tel4</t>
  </si>
  <si>
    <t>priz1</t>
  </si>
  <si>
    <t>priz2</t>
  </si>
  <si>
    <t>priz3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</si>
  <si>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</si>
  <si>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</si>
  <si>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</si>
  <si>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</si>
  <si>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</si>
  <si>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</si>
  <si>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</si>
  <si>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</si>
  <si>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</si>
  <si>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</si>
  <si>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</si>
  <si>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</si>
  <si>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</si>
  <si>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</si>
  <si>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</si>
  <si>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</si>
  <si>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</si>
  <si>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</si>
  <si>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</si>
  <si>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</si>
  <si>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</si>
  <si>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</si>
  <si>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</si>
  <si>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</si>
  <si>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</si>
  <si>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</si>
  <si>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</si>
  <si>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</si>
  <si>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</si>
  <si>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</si>
  <si>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</si>
  <si>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</si>
  <si>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</si>
  <si>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</si>
  <si>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</si>
  <si>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</si>
  <si>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</si>
  <si>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</si>
  <si>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</si>
  <si>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</si>
  <si>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</si>
  <si>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</si>
  <si>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</si>
  <si>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</si>
  <si>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</si>
  <si>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</si>
  <si>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</si>
  <si>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</si>
  <si>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</si>
  <si>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</si>
  <si>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</si>
  <si>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</si>
  <si>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</si>
  <si>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</si>
  <si>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</si>
  <si>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</si>
  <si>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</si>
  <si>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</si>
  <si>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</si>
  <si>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</si>
  <si>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</si>
  <si>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</si>
  <si>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</si>
  <si>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</si>
  <si>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</si>
  <si>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</si>
  <si>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</si>
  <si>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</si>
  <si>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</si>
  <si>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</si>
  <si>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</si>
  <si>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</si>
  <si>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</si>
  <si>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</si>
  <si>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</si>
  <si>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</si>
  <si>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</si>
  <si>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</si>
  <si>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</si>
  <si>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</si>
  <si>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</si>
  <si>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</si>
  <si>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</si>
  <si>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</si>
  <si>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0713683751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</si>
  <si>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</si>
  <si>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</si>
  <si>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</si>
  <si>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</si>
  <si>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</si>
  <si>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</si>
  <si>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</si>
  <si>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</si>
  <si>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</si>
  <si>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</si>
  <si>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a12</t>
  </si>
  <si>
    <t>a13</t>
  </si>
  <si>
    <t>a14</t>
  </si>
  <si>
    <t>a15</t>
  </si>
  <si>
    <t>НАКЛАДНАЯ N</t>
  </si>
  <si>
    <t>Розн</t>
  </si>
  <si>
    <t>Опт</t>
  </si>
  <si>
    <t>Клиент</t>
  </si>
  <si>
    <t>Курс</t>
  </si>
  <si>
    <t>Цена</t>
  </si>
  <si>
    <t>Наименование товара</t>
  </si>
  <si>
    <t>Ед</t>
  </si>
  <si>
    <t>Кол-во</t>
  </si>
  <si>
    <t>Сумма</t>
  </si>
  <si>
    <t>Остаток</t>
  </si>
  <si>
    <t xml:space="preserve">Код </t>
  </si>
  <si>
    <t>Всего</t>
  </si>
  <si>
    <t>a11</t>
  </si>
  <si>
    <t>id</t>
  </si>
  <si>
    <t>img</t>
  </si>
  <si>
    <t>url_1.png</t>
  </si>
  <si>
    <t>url_2.png</t>
  </si>
  <si>
    <t>url_3.png</t>
  </si>
  <si>
    <t>url_4.png</t>
  </si>
  <si>
    <t>url_5.png</t>
  </si>
  <si>
    <t>price</t>
  </si>
  <si>
    <t>url_6.png</t>
  </si>
  <si>
    <t>url_7.png</t>
  </si>
  <si>
    <t>url_8.png</t>
  </si>
  <si>
    <t>url_9.png</t>
  </si>
  <si>
    <t>url_10.png</t>
  </si>
  <si>
    <t>url_11.png</t>
  </si>
  <si>
    <t>url_12.png</t>
  </si>
  <si>
    <t>url_13.png</t>
  </si>
  <si>
    <t>url_14.png</t>
  </si>
  <si>
    <t>url_15.png</t>
  </si>
  <si>
    <t>url_16.png</t>
  </si>
  <si>
    <t>url_17.png</t>
  </si>
  <si>
    <t>url_18.png</t>
  </si>
  <si>
    <t>url_19.png</t>
  </si>
  <si>
    <t>url_20.png</t>
  </si>
  <si>
    <t>url_21.png</t>
  </si>
  <si>
    <t>url_22.png</t>
  </si>
  <si>
    <t>url_23.png</t>
  </si>
  <si>
    <t>url_24.png</t>
  </si>
  <si>
    <t>url_25.png</t>
  </si>
  <si>
    <t>url_26.png</t>
  </si>
  <si>
    <t>url_27.png</t>
  </si>
  <si>
    <t>url_28.png</t>
  </si>
  <si>
    <t>url_29.png</t>
  </si>
  <si>
    <t>url_30.png</t>
  </si>
  <si>
    <t>url_31.png</t>
  </si>
  <si>
    <t>url_32.png</t>
  </si>
  <si>
    <t>url_33.png</t>
  </si>
  <si>
    <t>url_34.png</t>
  </si>
  <si>
    <t>url_35.png</t>
  </si>
  <si>
    <t>url_36.png</t>
  </si>
  <si>
    <t>url_37.png</t>
  </si>
  <si>
    <t>url_38.png</t>
  </si>
  <si>
    <t>url_39.png</t>
  </si>
  <si>
    <t>url_40.png</t>
  </si>
  <si>
    <t>url_41.png</t>
  </si>
  <si>
    <t>url_42.png</t>
  </si>
  <si>
    <t>url_43.png</t>
  </si>
  <si>
    <t>url_44.png</t>
  </si>
  <si>
    <t>url_45.png</t>
  </si>
  <si>
    <t>url_46.png</t>
  </si>
  <si>
    <t>url_47.png</t>
  </si>
  <si>
    <t>url_48.png</t>
  </si>
  <si>
    <t>url_49.png</t>
  </si>
  <si>
    <t>url_50.png</t>
  </si>
  <si>
    <t>url_51.png</t>
  </si>
  <si>
    <t>url_52.png</t>
  </si>
  <si>
    <t>url_53.png</t>
  </si>
  <si>
    <t>url_54.png</t>
  </si>
  <si>
    <t>url_55.png</t>
  </si>
  <si>
    <t>url_56.png</t>
  </si>
  <si>
    <t>url_57.png</t>
  </si>
  <si>
    <t>url_58.png</t>
  </si>
  <si>
    <t>url_59.png</t>
  </si>
  <si>
    <t>url_60.png</t>
  </si>
  <si>
    <t>url_61.png</t>
  </si>
  <si>
    <t>url_62.png</t>
  </si>
  <si>
    <t>url_63.png</t>
  </si>
  <si>
    <t>url_64.png</t>
  </si>
  <si>
    <t>url_65.png</t>
  </si>
  <si>
    <t>url_66.png</t>
  </si>
  <si>
    <t>url_67.png</t>
  </si>
  <si>
    <t>url_68.png</t>
  </si>
  <si>
    <t>url_69.png</t>
  </si>
  <si>
    <t>url_70.png</t>
  </si>
  <si>
    <t>url_71.png</t>
  </si>
  <si>
    <t>url_72.png</t>
  </si>
  <si>
    <t>url_73.png</t>
  </si>
  <si>
    <t>url_74.png</t>
  </si>
  <si>
    <t>url_75.png</t>
  </si>
  <si>
    <t>url_76.png</t>
  </si>
  <si>
    <t>url_77.png</t>
  </si>
  <si>
    <t>url_78.png</t>
  </si>
  <si>
    <t>url_79.png</t>
  </si>
  <si>
    <t>url_80.png</t>
  </si>
  <si>
    <t>url_81.png</t>
  </si>
  <si>
    <t>url_82.png</t>
  </si>
  <si>
    <t>url_83.png</t>
  </si>
  <si>
    <t>url_84.png</t>
  </si>
  <si>
    <t>url_85.png</t>
  </si>
  <si>
    <t>url_86.png</t>
  </si>
  <si>
    <t>url_87.png</t>
  </si>
  <si>
    <t>url_88.png</t>
  </si>
  <si>
    <t>url_89.png</t>
  </si>
  <si>
    <t>url_90.png</t>
  </si>
  <si>
    <t>url_91.png</t>
  </si>
  <si>
    <t>url_92.png</t>
  </si>
  <si>
    <t>url_93.png</t>
  </si>
  <si>
    <t>url_94.png</t>
  </si>
  <si>
    <t>url_95.png</t>
  </si>
  <si>
    <t>url_96.png</t>
  </si>
  <si>
    <t>url_97.png</t>
  </si>
  <si>
    <t>url_98.png</t>
  </si>
  <si>
    <t>url_99.png</t>
  </si>
  <si>
    <t>url_100.png</t>
  </si>
  <si>
    <t>url_101.png</t>
  </si>
  <si>
    <t>url_102.png</t>
  </si>
  <si>
    <t>url_103.png</t>
  </si>
  <si>
    <t>url_104.png</t>
  </si>
  <si>
    <t>url_105.png</t>
  </si>
  <si>
    <t>url_106.png</t>
  </si>
  <si>
    <t>url_107.png</t>
  </si>
  <si>
    <t>url_108.png</t>
  </si>
  <si>
    <t>url_109.png</t>
  </si>
  <si>
    <t>url_110.png</t>
  </si>
  <si>
    <t>url_111.png</t>
  </si>
  <si>
    <t>url_112.png</t>
  </si>
  <si>
    <t>url_113.png</t>
  </si>
  <si>
    <t>url_114.png</t>
  </si>
  <si>
    <t>url_115.png</t>
  </si>
  <si>
    <t>url_116.png</t>
  </si>
  <si>
    <t>url_117.png</t>
  </si>
  <si>
    <t>url_118.png</t>
  </si>
  <si>
    <t>url_119.png</t>
  </si>
  <si>
    <t>url_120.png</t>
  </si>
  <si>
    <t>url_121.png</t>
  </si>
  <si>
    <t>url_122.png</t>
  </si>
  <si>
    <t>url_123.png</t>
  </si>
  <si>
    <t>url_124.png</t>
  </si>
  <si>
    <t>url_125.png</t>
  </si>
  <si>
    <t>url_126.png</t>
  </si>
  <si>
    <t>url_127.png</t>
  </si>
  <si>
    <t>url_128.png</t>
  </si>
  <si>
    <t>url_129.png</t>
  </si>
  <si>
    <t>url_130.png</t>
  </si>
  <si>
    <t>url_131.png</t>
  </si>
  <si>
    <t>url_132.png</t>
  </si>
  <si>
    <t>url_133.png</t>
  </si>
  <si>
    <t>url_134.png</t>
  </si>
  <si>
    <t>url_135.png</t>
  </si>
  <si>
    <t>url_136.png</t>
  </si>
  <si>
    <t>url_137.png</t>
  </si>
  <si>
    <t>url_138.png</t>
  </si>
  <si>
    <t>url_139.png</t>
  </si>
  <si>
    <t>url_140.png</t>
  </si>
  <si>
    <t>url_141.png</t>
  </si>
  <si>
    <t>url_142.png</t>
  </si>
  <si>
    <t>url_143.png</t>
  </si>
  <si>
    <t>url_144.png</t>
  </si>
  <si>
    <t>url_145.png</t>
  </si>
  <si>
    <t>url_146.png</t>
  </si>
  <si>
    <t>url_147.png</t>
  </si>
  <si>
    <t>url_148.png</t>
  </si>
  <si>
    <t>url_149.png</t>
  </si>
  <si>
    <t>url_150.png</t>
  </si>
  <si>
    <t>url_151.png</t>
  </si>
  <si>
    <t>url_152.png</t>
  </si>
  <si>
    <t>url_153.png</t>
  </si>
  <si>
    <t>url_154.png</t>
  </si>
  <si>
    <t>url_155.png</t>
  </si>
  <si>
    <t>url_156.png</t>
  </si>
  <si>
    <t>url_157.png</t>
  </si>
  <si>
    <t>url_158.png</t>
  </si>
  <si>
    <t>url_159.png</t>
  </si>
  <si>
    <t>url_160.png</t>
  </si>
  <si>
    <t>url_161.png</t>
  </si>
  <si>
    <t>url_162.png</t>
  </si>
  <si>
    <t>url_163.png</t>
  </si>
  <si>
    <t>url_164.png</t>
  </si>
  <si>
    <t>url_165.png</t>
  </si>
  <si>
    <t>url_166.png</t>
  </si>
  <si>
    <t>url_167.png</t>
  </si>
  <si>
    <t>url_168.png</t>
  </si>
  <si>
    <t>url_169.png</t>
  </si>
  <si>
    <t>url_170.png</t>
  </si>
  <si>
    <t>url_171.png</t>
  </si>
  <si>
    <t>url_172.png</t>
  </si>
  <si>
    <t>url_173.png</t>
  </si>
  <si>
    <t>url_174.png</t>
  </si>
  <si>
    <t>url_175.png</t>
  </si>
  <si>
    <t>url_176.png</t>
  </si>
  <si>
    <t>url_177.png</t>
  </si>
  <si>
    <t>url_178.png</t>
  </si>
  <si>
    <t>url_179.png</t>
  </si>
  <si>
    <t>url_180.png</t>
  </si>
  <si>
    <t>url_181.png</t>
  </si>
  <si>
    <t>url_182.png</t>
  </si>
  <si>
    <t>url_183.png</t>
  </si>
  <si>
    <t>url_184.png</t>
  </si>
  <si>
    <t>url_185.png</t>
  </si>
  <si>
    <t>url_186.png</t>
  </si>
  <si>
    <t>url_187.png</t>
  </si>
  <si>
    <t>url_188.png</t>
  </si>
  <si>
    <t>url_189.png</t>
  </si>
  <si>
    <t>url_190.png</t>
  </si>
  <si>
    <t>url_191.png</t>
  </si>
  <si>
    <t>url_192.png</t>
  </si>
  <si>
    <t>url_193.png</t>
  </si>
  <si>
    <t>url_194.png</t>
  </si>
  <si>
    <t>url_195.png</t>
  </si>
  <si>
    <t>url_196.png</t>
  </si>
  <si>
    <t>url_197.png</t>
  </si>
  <si>
    <t>url_198.png</t>
  </si>
  <si>
    <t>url_199.png</t>
  </si>
  <si>
    <t>url_200.png</t>
  </si>
  <si>
    <t>url_201.png</t>
  </si>
  <si>
    <t>url_202.png</t>
  </si>
  <si>
    <t>url_203.png</t>
  </si>
  <si>
    <t>url_204.png</t>
  </si>
  <si>
    <t>url_205.png</t>
  </si>
  <si>
    <t>url_206.png</t>
  </si>
  <si>
    <t>url_207.png</t>
  </si>
  <si>
    <t>url_208.png</t>
  </si>
  <si>
    <t>url_209.png</t>
  </si>
  <si>
    <t>url_210.png</t>
  </si>
  <si>
    <t>url_211.png</t>
  </si>
  <si>
    <t>url_212.png</t>
  </si>
  <si>
    <t>url_213.png</t>
  </si>
  <si>
    <t>url_214.png</t>
  </si>
  <si>
    <t>url_215.png</t>
  </si>
  <si>
    <t>url_216.png</t>
  </si>
  <si>
    <t>url_217.png</t>
  </si>
  <si>
    <t>url_218.png</t>
  </si>
  <si>
    <t>url_219.png</t>
  </si>
  <si>
    <t>url_220.png</t>
  </si>
  <si>
    <t>url_221.png</t>
  </si>
  <si>
    <t>url_222.png</t>
  </si>
  <si>
    <t>url_223.png</t>
  </si>
  <si>
    <t>url_224.png</t>
  </si>
  <si>
    <t>url_225.png</t>
  </si>
  <si>
    <t>url_226.png</t>
  </si>
  <si>
    <t>url_227.png</t>
  </si>
  <si>
    <t>url_228.png</t>
  </si>
  <si>
    <t>url_229.png</t>
  </si>
  <si>
    <t>url_230.png</t>
  </si>
  <si>
    <t>url_231.png</t>
  </si>
  <si>
    <t>url_232.png</t>
  </si>
  <si>
    <t>url_233.png</t>
  </si>
  <si>
    <t>url_234.png</t>
  </si>
  <si>
    <t>url_235.png</t>
  </si>
  <si>
    <t>url_236.png</t>
  </si>
  <si>
    <t>url_237.png</t>
  </si>
  <si>
    <t>url_238.png</t>
  </si>
  <si>
    <t>url_239.png</t>
  </si>
  <si>
    <t>url_240.png</t>
  </si>
  <si>
    <t>url_241.png</t>
  </si>
  <si>
    <t>url_242.png</t>
  </si>
  <si>
    <t>url_243.png</t>
  </si>
  <si>
    <t>url_244.png</t>
  </si>
  <si>
    <t>url_245.png</t>
  </si>
  <si>
    <t>url_246.png</t>
  </si>
  <si>
    <t>url_247.png</t>
  </si>
  <si>
    <t>url_248.png</t>
  </si>
  <si>
    <t>url_249.png</t>
  </si>
  <si>
    <t>url_250.png</t>
  </si>
  <si>
    <t>url_251.png</t>
  </si>
  <si>
    <t>url_252.png</t>
  </si>
  <si>
    <t>url_253.png</t>
  </si>
  <si>
    <t>url_254.png</t>
  </si>
  <si>
    <t>url_255.png</t>
  </si>
  <si>
    <t>url_256.png</t>
  </si>
  <si>
    <t>url_257.png</t>
  </si>
  <si>
    <t>url_258.png</t>
  </si>
  <si>
    <t>url_259.png</t>
  </si>
  <si>
    <t>url_260.png</t>
  </si>
  <si>
    <t>url_261.png</t>
  </si>
  <si>
    <t>url_262.png</t>
  </si>
  <si>
    <t>url_263.png</t>
  </si>
  <si>
    <t>url_264.png</t>
  </si>
  <si>
    <t>url_265.png</t>
  </si>
  <si>
    <t>url_266.png</t>
  </si>
  <si>
    <t>url_267.png</t>
  </si>
  <si>
    <t>url_268.png</t>
  </si>
  <si>
    <t>url_269.png</t>
  </si>
  <si>
    <t>url_270.png</t>
  </si>
  <si>
    <t>url_271.png</t>
  </si>
  <si>
    <t>url_272.png</t>
  </si>
  <si>
    <t>url_273.png</t>
  </si>
  <si>
    <t>url_274.png</t>
  </si>
  <si>
    <t>url_275.png</t>
  </si>
  <si>
    <t>url_276.png</t>
  </si>
  <si>
    <t>url_277.png</t>
  </si>
  <si>
    <t>url_278.png</t>
  </si>
  <si>
    <t>url_279.png</t>
  </si>
  <si>
    <t>url_280.png</t>
  </si>
  <si>
    <t>url_281.png</t>
  </si>
  <si>
    <t>url_282.png</t>
  </si>
  <si>
    <t>url_283.png</t>
  </si>
  <si>
    <t>url_284.png</t>
  </si>
  <si>
    <t>url_285.png</t>
  </si>
  <si>
    <t>url_286.png</t>
  </si>
  <si>
    <t>url_287.png</t>
  </si>
  <si>
    <t>url_288.png</t>
  </si>
  <si>
    <t>url_289.png</t>
  </si>
  <si>
    <t>url_290.png</t>
  </si>
  <si>
    <t>url_291.png</t>
  </si>
  <si>
    <t>url_292.png</t>
  </si>
  <si>
    <t>url_293.png</t>
  </si>
  <si>
    <t>url_294.png</t>
  </si>
  <si>
    <t>url_295.png</t>
  </si>
  <si>
    <t>url_296.png</t>
  </si>
  <si>
    <t>url_297.png</t>
  </si>
  <si>
    <t>url_298.png</t>
  </si>
  <si>
    <t>url_299.png</t>
  </si>
  <si>
    <t>url_300.png</t>
  </si>
  <si>
    <t>url_301.png</t>
  </si>
  <si>
    <t>url_302.png</t>
  </si>
  <si>
    <t>url_303.png</t>
  </si>
  <si>
    <t>url_304.png</t>
  </si>
  <si>
    <t>url_305.png</t>
  </si>
  <si>
    <t>url_306.png</t>
  </si>
  <si>
    <t>url_307.png</t>
  </si>
  <si>
    <t>url_308.png</t>
  </si>
  <si>
    <t>url_309.png</t>
  </si>
  <si>
    <t>url_310.png</t>
  </si>
  <si>
    <t>url_311.png</t>
  </si>
  <si>
    <t>url_312.png</t>
  </si>
  <si>
    <t>url_313.png</t>
  </si>
  <si>
    <t>url_314.png</t>
  </si>
  <si>
    <t>url_315.png</t>
  </si>
  <si>
    <t>url_316.png</t>
  </si>
  <si>
    <t>url_317.png</t>
  </si>
  <si>
    <t>url_318.png</t>
  </si>
  <si>
    <t>url_319.png</t>
  </si>
  <si>
    <t>url_320.png</t>
  </si>
  <si>
    <t>url_321.png</t>
  </si>
  <si>
    <t>url_322.png</t>
  </si>
  <si>
    <t>url_323.png</t>
  </si>
  <si>
    <t>url_324.png</t>
  </si>
  <si>
    <t>url_325.png</t>
  </si>
  <si>
    <t>url_326.png</t>
  </si>
  <si>
    <t>url_327.png</t>
  </si>
  <si>
    <t>url_328.png</t>
  </si>
  <si>
    <t>url_329.png</t>
  </si>
  <si>
    <t>url_330.png</t>
  </si>
  <si>
    <t>url_331.png</t>
  </si>
  <si>
    <t>url_332.png</t>
  </si>
  <si>
    <t>url_333.png</t>
  </si>
  <si>
    <t>url_334.png</t>
  </si>
  <si>
    <t>url_335.png</t>
  </si>
  <si>
    <t>url_336.png</t>
  </si>
  <si>
    <t>url_337.png</t>
  </si>
  <si>
    <t>url_338.png</t>
  </si>
  <si>
    <t>url_339.png</t>
  </si>
  <si>
    <t>url_340.png</t>
  </si>
  <si>
    <t>url_341.png</t>
  </si>
  <si>
    <t>url_342.png</t>
  </si>
  <si>
    <t>url_343.png</t>
  </si>
  <si>
    <t>url_344.png</t>
  </si>
  <si>
    <t>url_345.png</t>
  </si>
  <si>
    <t>url_346.png</t>
  </si>
  <si>
    <t>url_347.png</t>
  </si>
  <si>
    <t>url_348.png</t>
  </si>
  <si>
    <t>url_349.png</t>
  </si>
  <si>
    <t>url_350.png</t>
  </si>
  <si>
    <t>url_351.png</t>
  </si>
  <si>
    <t>url_352.png</t>
  </si>
  <si>
    <t>url_353.png</t>
  </si>
  <si>
    <t>url_354.png</t>
  </si>
  <si>
    <t>url_355.png</t>
  </si>
  <si>
    <t>url_356.png</t>
  </si>
  <si>
    <t>url_357.png</t>
  </si>
  <si>
    <t>url_358.png</t>
  </si>
  <si>
    <t>url_359.png</t>
  </si>
  <si>
    <t>url_360.png</t>
  </si>
  <si>
    <t>url_361.png</t>
  </si>
  <si>
    <t>url_362.png</t>
  </si>
  <si>
    <t>url_363.png</t>
  </si>
  <si>
    <t>url_364.png</t>
  </si>
  <si>
    <t>url_365.png</t>
  </si>
  <si>
    <t>url_366.png</t>
  </si>
  <si>
    <t>url_367.png</t>
  </si>
  <si>
    <t>url_368.png</t>
  </si>
  <si>
    <t>url_369.png</t>
  </si>
  <si>
    <t>url_370.png</t>
  </si>
  <si>
    <t>url_371.png</t>
  </si>
  <si>
    <t>url_372.png</t>
  </si>
  <si>
    <t>url_373.png</t>
  </si>
  <si>
    <t>url_374.png</t>
  </si>
  <si>
    <t>url_375.png</t>
  </si>
  <si>
    <t>url_376.png</t>
  </si>
  <si>
    <t>url_377.png</t>
  </si>
  <si>
    <t>url_378.png</t>
  </si>
  <si>
    <t>url_379.png</t>
  </si>
  <si>
    <t>url_380.png</t>
  </si>
  <si>
    <t>url_381.png</t>
  </si>
  <si>
    <t>url_382.png</t>
  </si>
  <si>
    <t>url_383.png</t>
  </si>
  <si>
    <t>url_384.png</t>
  </si>
  <si>
    <t>url_385.png</t>
  </si>
  <si>
    <t>url_386.png</t>
  </si>
  <si>
    <t>url_387.png</t>
  </si>
  <si>
    <t>url_388.png</t>
  </si>
  <si>
    <t>url_389.png</t>
  </si>
  <si>
    <t>url_390.png</t>
  </si>
  <si>
    <t>url_391.png</t>
  </si>
  <si>
    <t>0000000001</t>
  </si>
  <si>
    <t>0000000002</t>
  </si>
  <si>
    <t>0000000003</t>
  </si>
  <si>
    <t>0000000004</t>
  </si>
  <si>
    <t>0000000005</t>
  </si>
  <si>
    <t>0000000006</t>
  </si>
  <si>
    <t>0000000007</t>
  </si>
  <si>
    <t>0000000008</t>
  </si>
  <si>
    <t>0000000009</t>
  </si>
  <si>
    <t>0000000010</t>
  </si>
  <si>
    <t>0000000011</t>
  </si>
  <si>
    <t>0000000012</t>
  </si>
  <si>
    <t>0000000013</t>
  </si>
  <si>
    <t>0000000014</t>
  </si>
  <si>
    <t>0000000015</t>
  </si>
  <si>
    <t>0000000016</t>
  </si>
  <si>
    <t>0000000017</t>
  </si>
  <si>
    <t>0000000018</t>
  </si>
  <si>
    <t>0000000019</t>
  </si>
  <si>
    <t>0000000020</t>
  </si>
  <si>
    <t>0000000021</t>
  </si>
  <si>
    <t>0000000022</t>
  </si>
  <si>
    <t>0000000023</t>
  </si>
  <si>
    <t>0000000024</t>
  </si>
  <si>
    <t>0000000025</t>
  </si>
  <si>
    <t>0000000026</t>
  </si>
  <si>
    <t>0000000027</t>
  </si>
  <si>
    <t>0000000028</t>
  </si>
  <si>
    <t>0000000029</t>
  </si>
  <si>
    <t>0000000030</t>
  </si>
  <si>
    <t>0000000031</t>
  </si>
  <si>
    <t>0000000032</t>
  </si>
  <si>
    <t>0000000033</t>
  </si>
  <si>
    <t>0000000034</t>
  </si>
  <si>
    <t>0000000035</t>
  </si>
  <si>
    <t>0000000036</t>
  </si>
  <si>
    <t>0000000037</t>
  </si>
  <si>
    <t>0000000038</t>
  </si>
  <si>
    <t>0000000039</t>
  </si>
  <si>
    <t>0000000040</t>
  </si>
  <si>
    <t>0000000041</t>
  </si>
  <si>
    <t>0000000042</t>
  </si>
  <si>
    <t>0000000043</t>
  </si>
  <si>
    <t>0000000044</t>
  </si>
  <si>
    <t>0000000045</t>
  </si>
  <si>
    <t>0000000046</t>
  </si>
  <si>
    <t>0000000047</t>
  </si>
  <si>
    <t>0000000048</t>
  </si>
  <si>
    <t>0000000049</t>
  </si>
  <si>
    <t>0000000050</t>
  </si>
  <si>
    <t>0000000051</t>
  </si>
  <si>
    <t>0000000052</t>
  </si>
  <si>
    <t>0000000053</t>
  </si>
  <si>
    <t>0000000054</t>
  </si>
  <si>
    <t>0000000055</t>
  </si>
  <si>
    <t>0000000056</t>
  </si>
  <si>
    <t>0000000057</t>
  </si>
  <si>
    <t>0000000058</t>
  </si>
  <si>
    <t>0000000059</t>
  </si>
  <si>
    <t>0000000060</t>
  </si>
  <si>
    <t>0000000061</t>
  </si>
  <si>
    <t>0000000062</t>
  </si>
  <si>
    <t>0000000063</t>
  </si>
  <si>
    <t>0000000064</t>
  </si>
  <si>
    <t>0000000065</t>
  </si>
  <si>
    <t>0000000066</t>
  </si>
  <si>
    <t>0000000067</t>
  </si>
  <si>
    <t>0000000068</t>
  </si>
  <si>
    <t>0000000069</t>
  </si>
  <si>
    <t>0000000070</t>
  </si>
  <si>
    <t>0000000071</t>
  </si>
  <si>
    <t>0000000072</t>
  </si>
  <si>
    <t>0000000073</t>
  </si>
  <si>
    <t>0000000074</t>
  </si>
  <si>
    <t>0000000075</t>
  </si>
  <si>
    <t>0000000076</t>
  </si>
  <si>
    <t>0000000077</t>
  </si>
  <si>
    <t>0000000078</t>
  </si>
  <si>
    <t>0000000079</t>
  </si>
  <si>
    <t>0000000080</t>
  </si>
  <si>
    <t>0000000081</t>
  </si>
  <si>
    <t>0000000082</t>
  </si>
  <si>
    <t>0000000083</t>
  </si>
  <si>
    <t>0000000084</t>
  </si>
  <si>
    <t>0000000085</t>
  </si>
  <si>
    <t>0000000086</t>
  </si>
  <si>
    <t>0000000087</t>
  </si>
  <si>
    <t>0000000088</t>
  </si>
  <si>
    <t>0000000089</t>
  </si>
  <si>
    <t>0000000090</t>
  </si>
  <si>
    <t>0000000091</t>
  </si>
  <si>
    <t>0000000092</t>
  </si>
  <si>
    <t>0000000093</t>
  </si>
  <si>
    <t>0000000094</t>
  </si>
  <si>
    <t>0000000095</t>
  </si>
  <si>
    <t>0000000096</t>
  </si>
  <si>
    <t>0000000097</t>
  </si>
  <si>
    <t>0000000098</t>
  </si>
  <si>
    <t>0000000099</t>
  </si>
  <si>
    <t>0000000100</t>
  </si>
  <si>
    <t>0000000101</t>
  </si>
  <si>
    <t>0000000102</t>
  </si>
  <si>
    <t>0000000103</t>
  </si>
  <si>
    <t>0000000104</t>
  </si>
  <si>
    <t>0000000105</t>
  </si>
  <si>
    <t>0000000106</t>
  </si>
  <si>
    <t>0000000107</t>
  </si>
  <si>
    <t>0000000108</t>
  </si>
  <si>
    <t>0000000109</t>
  </si>
  <si>
    <t>0000000110</t>
  </si>
  <si>
    <t>0000000111</t>
  </si>
  <si>
    <t>0000000112</t>
  </si>
  <si>
    <t>0000000113</t>
  </si>
  <si>
    <t>0000000114</t>
  </si>
  <si>
    <t>0000000115</t>
  </si>
  <si>
    <t>0000000116</t>
  </si>
  <si>
    <t>0000000117</t>
  </si>
  <si>
    <t>0000000118</t>
  </si>
  <si>
    <t>0000000119</t>
  </si>
  <si>
    <t>0000000120</t>
  </si>
  <si>
    <t>0000000121</t>
  </si>
  <si>
    <t>0000000122</t>
  </si>
  <si>
    <t>0000000123</t>
  </si>
  <si>
    <t>0000000124</t>
  </si>
  <si>
    <t>0000000125</t>
  </si>
  <si>
    <t>0000000126</t>
  </si>
  <si>
    <t>0000000127</t>
  </si>
  <si>
    <t>0000000128</t>
  </si>
  <si>
    <t>0000000129</t>
  </si>
  <si>
    <t>0000000130</t>
  </si>
  <si>
    <t>0000000131</t>
  </si>
  <si>
    <t>0000000132</t>
  </si>
  <si>
    <t>0000000133</t>
  </si>
  <si>
    <t>0000000134</t>
  </si>
  <si>
    <t>0000000135</t>
  </si>
  <si>
    <t>0000000136</t>
  </si>
  <si>
    <t>0000000137</t>
  </si>
  <si>
    <t>0000000138</t>
  </si>
  <si>
    <t>0000000139</t>
  </si>
  <si>
    <t>0000000140</t>
  </si>
  <si>
    <t>0000000141</t>
  </si>
  <si>
    <t>0000000142</t>
  </si>
  <si>
    <t>0000000143</t>
  </si>
  <si>
    <t>0000000144</t>
  </si>
  <si>
    <t>0000000145</t>
  </si>
  <si>
    <t>0000000146</t>
  </si>
  <si>
    <t>0000000147</t>
  </si>
  <si>
    <t>0000000148</t>
  </si>
  <si>
    <t>0000000149</t>
  </si>
  <si>
    <t>0000000150</t>
  </si>
  <si>
    <t>0000000151</t>
  </si>
  <si>
    <t>0000000152</t>
  </si>
  <si>
    <t>0000000153</t>
  </si>
  <si>
    <t>0000000154</t>
  </si>
  <si>
    <t>0000000155</t>
  </si>
  <si>
    <t>0000000156</t>
  </si>
  <si>
    <t>0000000157</t>
  </si>
  <si>
    <t>0000000158</t>
  </si>
  <si>
    <t>0000000159</t>
  </si>
  <si>
    <t>0000000160</t>
  </si>
  <si>
    <t>0000000161</t>
  </si>
  <si>
    <t>0000000162</t>
  </si>
  <si>
    <t>0000000163</t>
  </si>
  <si>
    <t>0000000164</t>
  </si>
  <si>
    <t>0000000165</t>
  </si>
  <si>
    <t>0000000166</t>
  </si>
  <si>
    <t>0000000167</t>
  </si>
  <si>
    <t>0000000168</t>
  </si>
  <si>
    <t>0000000169</t>
  </si>
  <si>
    <t>0000000170</t>
  </si>
  <si>
    <t>0000000171</t>
  </si>
  <si>
    <t>0000000172</t>
  </si>
  <si>
    <t>0000000173</t>
  </si>
  <si>
    <t>0000000174</t>
  </si>
  <si>
    <t>0000000175</t>
  </si>
  <si>
    <t>0000000176</t>
  </si>
  <si>
    <t>0000000177</t>
  </si>
  <si>
    <t>0000000178</t>
  </si>
  <si>
    <t>0000000179</t>
  </si>
  <si>
    <t>0000000180</t>
  </si>
  <si>
    <t>0000000181</t>
  </si>
  <si>
    <t>0000000182</t>
  </si>
  <si>
    <t>0000000183</t>
  </si>
  <si>
    <t>0000000184</t>
  </si>
  <si>
    <t>0000000185</t>
  </si>
  <si>
    <t>0000000186</t>
  </si>
  <si>
    <t>0000000187</t>
  </si>
  <si>
    <t>0000000188</t>
  </si>
  <si>
    <t>0000000189</t>
  </si>
  <si>
    <t>0000000190</t>
  </si>
  <si>
    <t>0000000191</t>
  </si>
  <si>
    <t>0000000192</t>
  </si>
  <si>
    <t>0000000193</t>
  </si>
  <si>
    <t>0000000194</t>
  </si>
  <si>
    <t>0000000195</t>
  </si>
  <si>
    <t>0000000196</t>
  </si>
  <si>
    <t>0000000197</t>
  </si>
  <si>
    <t>0000000198</t>
  </si>
  <si>
    <t>0000000199</t>
  </si>
  <si>
    <t>0000000200</t>
  </si>
  <si>
    <t>0000000201</t>
  </si>
  <si>
    <t>0000000202</t>
  </si>
  <si>
    <t>0000000203</t>
  </si>
  <si>
    <t>0000000204</t>
  </si>
  <si>
    <t>0000000205</t>
  </si>
  <si>
    <t>0000000206</t>
  </si>
  <si>
    <t>0000000207</t>
  </si>
  <si>
    <t>0000000208</t>
  </si>
  <si>
    <t>0000000209</t>
  </si>
  <si>
    <t>0000000210</t>
  </si>
  <si>
    <t>0000000211</t>
  </si>
  <si>
    <t>0000000212</t>
  </si>
  <si>
    <t>0000000213</t>
  </si>
  <si>
    <t>0000000214</t>
  </si>
  <si>
    <t>0000000215</t>
  </si>
  <si>
    <t>0000000216</t>
  </si>
  <si>
    <t>0000000217</t>
  </si>
  <si>
    <t>0000000218</t>
  </si>
  <si>
    <t>0000000219</t>
  </si>
  <si>
    <t>0000000220</t>
  </si>
  <si>
    <t>0000000221</t>
  </si>
  <si>
    <t>0000000222</t>
  </si>
  <si>
    <t>0000000223</t>
  </si>
  <si>
    <t>0000000224</t>
  </si>
  <si>
    <t>0000000225</t>
  </si>
  <si>
    <t>0000000226</t>
  </si>
  <si>
    <t>0000000227</t>
  </si>
  <si>
    <t>0000000228</t>
  </si>
  <si>
    <t>0000000229</t>
  </si>
  <si>
    <t>0000000230</t>
  </si>
  <si>
    <t>0000000231</t>
  </si>
  <si>
    <t>0000000232</t>
  </si>
  <si>
    <t>0000000233</t>
  </si>
  <si>
    <t>0000000234</t>
  </si>
  <si>
    <t>0000000235</t>
  </si>
  <si>
    <t>0000000236</t>
  </si>
  <si>
    <t>0000000237</t>
  </si>
  <si>
    <t>0000000238</t>
  </si>
  <si>
    <t>0000000239</t>
  </si>
  <si>
    <t>0000000240</t>
  </si>
  <si>
    <t>0000000241</t>
  </si>
  <si>
    <t>0000000242</t>
  </si>
  <si>
    <t>0000000243</t>
  </si>
  <si>
    <t>0000000244</t>
  </si>
  <si>
    <t>0000000245</t>
  </si>
  <si>
    <t>0000000246</t>
  </si>
  <si>
    <t>0000000247</t>
  </si>
  <si>
    <t>0000000248</t>
  </si>
  <si>
    <t>0000000249</t>
  </si>
  <si>
    <t>0000000250</t>
  </si>
  <si>
    <t>0000000251</t>
  </si>
  <si>
    <t>0000000252</t>
  </si>
  <si>
    <t>0000000253</t>
  </si>
  <si>
    <t>0000000254</t>
  </si>
  <si>
    <t>0000000255</t>
  </si>
  <si>
    <t>0000000256</t>
  </si>
  <si>
    <t>0000000257</t>
  </si>
  <si>
    <t>0000000258</t>
  </si>
  <si>
    <t>0000000259</t>
  </si>
  <si>
    <t>0000000260</t>
  </si>
  <si>
    <t>0000000261</t>
  </si>
  <si>
    <t>0000000262</t>
  </si>
  <si>
    <t>0000000263</t>
  </si>
  <si>
    <t>0000000264</t>
  </si>
  <si>
    <t>0000000265</t>
  </si>
  <si>
    <t>0000000266</t>
  </si>
  <si>
    <t>0000000267</t>
  </si>
  <si>
    <t>0000000268</t>
  </si>
  <si>
    <t>0000000269</t>
  </si>
  <si>
    <t>0000000270</t>
  </si>
  <si>
    <t>0000000271</t>
  </si>
  <si>
    <t>0000000272</t>
  </si>
  <si>
    <t>0000000273</t>
  </si>
  <si>
    <t>0000000274</t>
  </si>
  <si>
    <t>0000000275</t>
  </si>
  <si>
    <t>0000000276</t>
  </si>
  <si>
    <t>0000000277</t>
  </si>
  <si>
    <t>0000000278</t>
  </si>
  <si>
    <t>0000000279</t>
  </si>
  <si>
    <t>0000000280</t>
  </si>
  <si>
    <t>0000000281</t>
  </si>
  <si>
    <t>0000000282</t>
  </si>
  <si>
    <t>0000000283</t>
  </si>
  <si>
    <t>0000000284</t>
  </si>
  <si>
    <t>0000000285</t>
  </si>
  <si>
    <t>0000000286</t>
  </si>
  <si>
    <t>0000000287</t>
  </si>
  <si>
    <t>0000000288</t>
  </si>
  <si>
    <t>0000000289</t>
  </si>
  <si>
    <t>0000000290</t>
  </si>
  <si>
    <t>0000000291</t>
  </si>
  <si>
    <t>0000000292</t>
  </si>
  <si>
    <t>0000000293</t>
  </si>
  <si>
    <t>0000000294</t>
  </si>
  <si>
    <t>0000000295</t>
  </si>
  <si>
    <t>0000000296</t>
  </si>
  <si>
    <t>0000000297</t>
  </si>
  <si>
    <t>0000000298</t>
  </si>
  <si>
    <t>0000000299</t>
  </si>
  <si>
    <t>0000000300</t>
  </si>
  <si>
    <t>0000000301</t>
  </si>
  <si>
    <t>0000000302</t>
  </si>
  <si>
    <t>0000000303</t>
  </si>
  <si>
    <t>0000000304</t>
  </si>
  <si>
    <t>0000000305</t>
  </si>
  <si>
    <t>0000000306</t>
  </si>
  <si>
    <t>0000000307</t>
  </si>
  <si>
    <t>0000000308</t>
  </si>
  <si>
    <t>0000000309</t>
  </si>
  <si>
    <t>0000000310</t>
  </si>
  <si>
    <t>0000000311</t>
  </si>
  <si>
    <t>0000000312</t>
  </si>
  <si>
    <t>0000000313</t>
  </si>
  <si>
    <t>0000000314</t>
  </si>
  <si>
    <t>0000000315</t>
  </si>
  <si>
    <t>0000000316</t>
  </si>
  <si>
    <t>0000000317</t>
  </si>
  <si>
    <t>0000000318</t>
  </si>
  <si>
    <t>0000000319</t>
  </si>
  <si>
    <t>0000000320</t>
  </si>
  <si>
    <t>0000000321</t>
  </si>
  <si>
    <t>0000000322</t>
  </si>
  <si>
    <t>0000000323</t>
  </si>
  <si>
    <t>0000000324</t>
  </si>
  <si>
    <t>0000000325</t>
  </si>
  <si>
    <t>0000000326</t>
  </si>
  <si>
    <t>0000000327</t>
  </si>
  <si>
    <t>0000000328</t>
  </si>
  <si>
    <t>0000000329</t>
  </si>
  <si>
    <t>0000000330</t>
  </si>
  <si>
    <t>0000000331</t>
  </si>
  <si>
    <t>0000000332</t>
  </si>
  <si>
    <t>0000000333</t>
  </si>
  <si>
    <t>0000000334</t>
  </si>
  <si>
    <t>0000000335</t>
  </si>
  <si>
    <t>0000000336</t>
  </si>
  <si>
    <t>0000000337</t>
  </si>
  <si>
    <t>0000000338</t>
  </si>
  <si>
    <t>0000000339</t>
  </si>
  <si>
    <t>0000000341</t>
  </si>
  <si>
    <t>0000000342</t>
  </si>
  <si>
    <t>0000000343</t>
  </si>
  <si>
    <t>0000000344</t>
  </si>
  <si>
    <t>0000000345</t>
  </si>
  <si>
    <t>0000000346</t>
  </si>
  <si>
    <t>0000000347</t>
  </si>
  <si>
    <t>0000000348</t>
  </si>
  <si>
    <t>0000000349</t>
  </si>
  <si>
    <t>0000000350</t>
  </si>
  <si>
    <t>0000000351</t>
  </si>
  <si>
    <t>0000000352</t>
  </si>
  <si>
    <t>0000000353</t>
  </si>
  <si>
    <t>0000000355</t>
  </si>
  <si>
    <t>0000000356</t>
  </si>
  <si>
    <t>0000000357</t>
  </si>
  <si>
    <t>0000000358</t>
  </si>
  <si>
    <t>0000000359</t>
  </si>
  <si>
    <t>0000000360</t>
  </si>
  <si>
    <t>0000000361</t>
  </si>
  <si>
    <t>0000000362</t>
  </si>
  <si>
    <t>0000000363</t>
  </si>
  <si>
    <t>0000000364</t>
  </si>
  <si>
    <t>0000000365</t>
  </si>
  <si>
    <t>0000000366</t>
  </si>
  <si>
    <t>0000000367</t>
  </si>
  <si>
    <t>0000000368</t>
  </si>
  <si>
    <t>0000000369</t>
  </si>
  <si>
    <t>0000000370</t>
  </si>
  <si>
    <t>0000000371</t>
  </si>
  <si>
    <t>0000000372</t>
  </si>
  <si>
    <t>0000000373</t>
  </si>
  <si>
    <t>0000000374</t>
  </si>
  <si>
    <t>0000000375</t>
  </si>
  <si>
    <t>0000000376</t>
  </si>
  <si>
    <t>0000000377</t>
  </si>
  <si>
    <t>0000000378</t>
  </si>
  <si>
    <t>0000000379</t>
  </si>
  <si>
    <t>0000000380</t>
  </si>
  <si>
    <t>0000000381</t>
  </si>
  <si>
    <t>0000000382</t>
  </si>
  <si>
    <t>0000000383</t>
  </si>
  <si>
    <t>0000000384</t>
  </si>
  <si>
    <t>0000000385</t>
  </si>
  <si>
    <t>0000000386</t>
  </si>
  <si>
    <t>0000000387</t>
  </si>
  <si>
    <t>0000000388</t>
  </si>
  <si>
    <t>0000000389</t>
  </si>
  <si>
    <t>0000000390</t>
  </si>
  <si>
    <t>0000000391</t>
  </si>
  <si>
    <t>0000000340</t>
  </si>
  <si>
    <t>0000000354</t>
  </si>
  <si>
    <t>C09</t>
  </si>
  <si>
    <t>kod_1</t>
  </si>
  <si>
    <t>0000000000</t>
  </si>
  <si>
    <t>kod_2</t>
  </si>
  <si>
    <t>kod_3</t>
  </si>
  <si>
    <t>kod_4</t>
  </si>
  <si>
    <t>klient_2</t>
  </si>
  <si>
    <t>klient_3</t>
  </si>
  <si>
    <t>180-" "</t>
  </si>
  <si>
    <t>kod_5</t>
  </si>
  <si>
    <t>klient_1</t>
  </si>
  <si>
    <t xml:space="preserve">Лиля (Больница)                                                                                                                                                                     </t>
  </si>
  <si>
    <t xml:space="preserve">Розница разное ОПТ                                                                                                                                                                  </t>
  </si>
  <si>
    <t xml:space="preserve">Андрей (Ясиноватая)                                                                                                                                                                 </t>
  </si>
  <si>
    <t xml:space="preserve">Юрий (Снежное)                                                                                                                                                                      </t>
  </si>
  <si>
    <t xml:space="preserve">Артем Голубев+Тимофей+Игорь                                                                                                                                                         </t>
  </si>
  <si>
    <t xml:space="preserve">Наташа Алферова                                                                                                                                                                     </t>
  </si>
  <si>
    <t xml:space="preserve">Оля Импульс                                                                                                                                                                         </t>
  </si>
  <si>
    <t xml:space="preserve">Нистеренко Наташа                                                                                                                                                                   </t>
  </si>
  <si>
    <t xml:space="preserve">Наташа Шахтерск                                                                                                                                                                     </t>
  </si>
  <si>
    <t xml:space="preserve">Михаил Донпринт                                                                                                                                                                     </t>
  </si>
  <si>
    <t xml:space="preserve">Богдан                                                                                                                                                                              </t>
  </si>
  <si>
    <t xml:space="preserve">Брич Евгений                                                                                                                                                                        </t>
  </si>
  <si>
    <t xml:space="preserve">Дед Мороз Александр Анатольевич                                                                                                                                                     </t>
  </si>
  <si>
    <t xml:space="preserve">Гайваронская Наталья Владиславовна                                                                                                                                                  </t>
  </si>
  <si>
    <t xml:space="preserve">Ира Гунько                                                                                                                                                                          </t>
  </si>
  <si>
    <t xml:space="preserve">Быкадоров Данил Снежное                                                                                                                                                             </t>
  </si>
  <si>
    <t xml:space="preserve">Даша Золотое кольцо                                                                                                                                                                 </t>
  </si>
  <si>
    <t xml:space="preserve">Александр Владимирович фотограф                                                                                                                                                     </t>
  </si>
  <si>
    <t xml:space="preserve">Липучки Алена Макеевка                                                                                                                                                              </t>
  </si>
  <si>
    <t xml:space="preserve">ФЛП Барановский Александр                                                                                                                                                           </t>
  </si>
  <si>
    <t xml:space="preserve">Ванин Сергей Алексеевич Докучаевск                                                                                                                                                  </t>
  </si>
  <si>
    <t xml:space="preserve">НА ШАРУ - рынок                                                                                                                                                                     </t>
  </si>
  <si>
    <t xml:space="preserve">Игорь Львович Юра                                                                                                                                                                   </t>
  </si>
  <si>
    <t xml:space="preserve">196 Александр                                                                                                                                                                       </t>
  </si>
  <si>
    <t xml:space="preserve">Борис Викторович Енакиево Электроника                                                                                                                                               </t>
  </si>
  <si>
    <t xml:space="preserve">Сидоренко Петровка Донецк                                                                                                                                                           </t>
  </si>
  <si>
    <t xml:space="preserve">ФЛП Чуприн Юра                                                                                                                                                                      </t>
  </si>
  <si>
    <t xml:space="preserve">Администрация                                                                                                                                                                       </t>
  </si>
  <si>
    <t xml:space="preserve">Людмила Степановна                                                                                                                                                                  </t>
  </si>
  <si>
    <t xml:space="preserve">Руслан Снежное                                                                                                                                                                      </t>
  </si>
  <si>
    <t xml:space="preserve">Игорь АБС ABC                                                                                                                                                                       </t>
  </si>
  <si>
    <t xml:space="preserve">Варлянский Валерий                                                                                                                                                                  </t>
  </si>
  <si>
    <t xml:space="preserve">ФЛП Кислякова-Осипенко                                                                                                                                                              </t>
  </si>
  <si>
    <t xml:space="preserve">Юля Тан                                                                                                                                                                             </t>
  </si>
  <si>
    <t xml:space="preserve">ФЛП Черевайко Андрей Николаевич                                                                                                                                                     </t>
  </si>
  <si>
    <t xml:space="preserve">Еременко Дима                                                                                                                                                                       </t>
  </si>
  <si>
    <t xml:space="preserve">ФЛП Барбатун Вадим Олегович                                                                                                                                                         </t>
  </si>
  <si>
    <t xml:space="preserve">Женя Полиграф                                                                                                                                                                       </t>
  </si>
  <si>
    <t xml:space="preserve">Самосват Александр                                                                                                                                                                  </t>
  </si>
  <si>
    <t xml:space="preserve">Яковленко Наталья                                                                                                                                                                   </t>
  </si>
  <si>
    <t xml:space="preserve">Шевченко Саша                                                                                                                                                                       </t>
  </si>
  <si>
    <t xml:space="preserve">Топорков Артем Торез                                                                                                                                                                </t>
  </si>
  <si>
    <t xml:space="preserve">Тимошевский Виталий                                                                                                                                                                 </t>
  </si>
  <si>
    <t xml:space="preserve">ФЛП Павлюк Александр                                                                                                                                                                </t>
  </si>
  <si>
    <t xml:space="preserve">Сергей Викторович ООО Селд                                                                                                                                                          </t>
  </si>
  <si>
    <t xml:space="preserve">Денис Снежное 0714617355                                                                                                                                                            </t>
  </si>
  <si>
    <t xml:space="preserve">Наташа Ясиноватая бартер                                                                                                                                                            </t>
  </si>
  <si>
    <t xml:space="preserve">Игорь Пельмени                                                                                                                                                                      </t>
  </si>
  <si>
    <t xml:space="preserve">Торговый Университет Владимир                                                                                                                                                       </t>
  </si>
  <si>
    <t xml:space="preserve">Артебякина Светлана                                                                                                                                                                 </t>
  </si>
  <si>
    <t xml:space="preserve">Ганиев Ринат Горловка (Самоклейка)                                                                                                                                                  </t>
  </si>
  <si>
    <t xml:space="preserve">Бандана                                                                                                                                                                             </t>
  </si>
  <si>
    <t xml:space="preserve">Игорь Николаевич Мельник Макеевка "Поиск" 0713976819                                                                                                                                </t>
  </si>
  <si>
    <t xml:space="preserve">ФЛП Александрова Инесса                                                                                                                                                             </t>
  </si>
  <si>
    <t xml:space="preserve">ФЛП Сыроквашина Светлана                                                                                                                                                            </t>
  </si>
  <si>
    <t xml:space="preserve">Ларичев                                                                                                                                                                             </t>
  </si>
  <si>
    <t xml:space="preserve">Мищенко Сергей                                                                                                                                                                      </t>
  </si>
  <si>
    <t xml:space="preserve">ФЛП Губанова                                                                                                                                                                        </t>
  </si>
  <si>
    <t xml:space="preserve">ФЛП Гарбузов Александр                                                                                                                                                              </t>
  </si>
  <si>
    <t xml:space="preserve">Енакиево бумага                                                                                                                                                                     </t>
  </si>
  <si>
    <t xml:space="preserve">Гена Назаркин ( 17 )                                                                                                                                                                </t>
  </si>
  <si>
    <t xml:space="preserve">ФЛП Буряк                                                                                                                                                                           </t>
  </si>
  <si>
    <t xml:space="preserve">Роман Мачнев                                                                                                                                                                        </t>
  </si>
  <si>
    <t xml:space="preserve">Бородин Андрей Владимирович                                                                                                                                                         </t>
  </si>
  <si>
    <t xml:space="preserve">Сиданич Вита                                                                                                                                                                        </t>
  </si>
  <si>
    <t xml:space="preserve">ФЛП Арсенина                                                                                                                                                                        </t>
  </si>
  <si>
    <t xml:space="preserve">Конорева Ирина г. Ждановка                                                                                                                                                          </t>
  </si>
  <si>
    <t xml:space="preserve">Булыга Борис                                                                                                                                                                        </t>
  </si>
  <si>
    <t xml:space="preserve">Качалов Дима                                                                                                                                                                        </t>
  </si>
  <si>
    <t xml:space="preserve">ООО СЕЛТ Павленко Сергей Викторович                                                                                                                                                 </t>
  </si>
  <si>
    <t xml:space="preserve">Сергей Директор                                                                                                                                                                     </t>
  </si>
  <si>
    <t xml:space="preserve">Артем Шахтерск                                                                                                                                                                      </t>
  </si>
  <si>
    <t xml:space="preserve">Роман Шевченко Комсомольск                                                                                                                                                          </t>
  </si>
  <si>
    <t xml:space="preserve">АНДРЕЙ 88                                                                                                                                                                           </t>
  </si>
  <si>
    <t xml:space="preserve">Юля                                                                                                                                                                                 </t>
  </si>
  <si>
    <t xml:space="preserve">МОБИ БУМ  Максим                                                                                                                                                                    </t>
  </si>
  <si>
    <t xml:space="preserve">Ходорченко Виталий Викторович                                                                                                                                                       </t>
  </si>
  <si>
    <t xml:space="preserve">Алиса .Денис Макеевка                                                                                                                                                               </t>
  </si>
  <si>
    <t xml:space="preserve">Куница Роман                                                                                                                                                                        </t>
  </si>
  <si>
    <t xml:space="preserve">Света (Наташа)                                                                                                                                                                      </t>
  </si>
  <si>
    <t xml:space="preserve">Александ                                                                                                                                                                            </t>
  </si>
  <si>
    <t xml:space="preserve">Марина Алчевск                                                                                                                                                                      </t>
  </si>
  <si>
    <t>tel1_01</t>
  </si>
  <si>
    <t>tel1_02</t>
  </si>
  <si>
    <t>tel1_03</t>
  </si>
  <si>
    <t xml:space="preserve">                         </t>
  </si>
  <si>
    <t xml:space="preserve">               0713031515</t>
  </si>
  <si>
    <t xml:space="preserve">               0713798238</t>
  </si>
  <si>
    <t xml:space="preserve">               0713347913</t>
  </si>
  <si>
    <t xml:space="preserve">               0713699176</t>
  </si>
  <si>
    <t xml:space="preserve">               0713853526</t>
  </si>
  <si>
    <t xml:space="preserve">               0713306420</t>
  </si>
  <si>
    <t xml:space="preserve">               0713260038</t>
  </si>
  <si>
    <t xml:space="preserve">               0713030110</t>
  </si>
  <si>
    <t xml:space="preserve">               0713090610</t>
  </si>
  <si>
    <t xml:space="preserve">               0713224491</t>
  </si>
  <si>
    <t xml:space="preserve">               0713751323</t>
  </si>
  <si>
    <t xml:space="preserve">               0713215803</t>
  </si>
  <si>
    <t xml:space="preserve">               0713330637</t>
  </si>
  <si>
    <t xml:space="preserve">               0713270040</t>
  </si>
  <si>
    <t xml:space="preserve">               0714765177</t>
  </si>
  <si>
    <t xml:space="preserve">               0714663992</t>
  </si>
  <si>
    <t xml:space="preserve">               0714137173</t>
  </si>
  <si>
    <t xml:space="preserve">               0713137284</t>
  </si>
  <si>
    <t xml:space="preserve">               0713218918</t>
  </si>
  <si>
    <t xml:space="preserve">               0713148348</t>
  </si>
  <si>
    <t xml:space="preserve">               0713315352</t>
  </si>
  <si>
    <t xml:space="preserve">               0713360190</t>
  </si>
  <si>
    <t xml:space="preserve">               0713114488</t>
  </si>
  <si>
    <t xml:space="preserve">               0713407565</t>
  </si>
  <si>
    <t xml:space="preserve">               0713664072</t>
  </si>
  <si>
    <t xml:space="preserve">               0713397760</t>
  </si>
  <si>
    <t xml:space="preserve">                      071</t>
  </si>
  <si>
    <t xml:space="preserve">               0713190950</t>
  </si>
  <si>
    <t xml:space="preserve">               0714671087</t>
  </si>
  <si>
    <t xml:space="preserve">               0714751449</t>
  </si>
  <si>
    <t xml:space="preserve">               0713338658</t>
  </si>
  <si>
    <t xml:space="preserve">               0713338659</t>
  </si>
  <si>
    <t xml:space="preserve">               0713306227</t>
  </si>
  <si>
    <t xml:space="preserve">               0713726509</t>
  </si>
  <si>
    <t xml:space="preserve">               0713771819</t>
  </si>
  <si>
    <t xml:space="preserve">               0714158409</t>
  </si>
  <si>
    <t xml:space="preserve">               0713843781</t>
  </si>
  <si>
    <t xml:space="preserve">               0713825331</t>
  </si>
  <si>
    <t xml:space="preserve">               0714617355</t>
  </si>
  <si>
    <t xml:space="preserve">               0713091445</t>
  </si>
  <si>
    <t xml:space="preserve">               0713592605</t>
  </si>
  <si>
    <t xml:space="preserve">               0713653269</t>
  </si>
  <si>
    <t xml:space="preserve">               0713881856</t>
  </si>
  <si>
    <t xml:space="preserve">               0713227208</t>
  </si>
  <si>
    <t xml:space="preserve">               0714106676</t>
  </si>
  <si>
    <t xml:space="preserve">               0713763159</t>
  </si>
  <si>
    <t xml:space="preserve">               0713819271</t>
  </si>
  <si>
    <t xml:space="preserve">               0713229414</t>
  </si>
  <si>
    <t xml:space="preserve">               0712391969</t>
  </si>
  <si>
    <t xml:space="preserve">               0713518362</t>
  </si>
  <si>
    <t xml:space="preserve">               0713076372</t>
  </si>
  <si>
    <t xml:space="preserve">               0713097963</t>
  </si>
  <si>
    <t xml:space="preserve">               0713483130</t>
  </si>
  <si>
    <t xml:space="preserve">               0713546080</t>
  </si>
  <si>
    <t xml:space="preserve">               0713962728</t>
  </si>
  <si>
    <t xml:space="preserve">               0713104406</t>
  </si>
  <si>
    <t xml:space="preserve">               0713131156</t>
  </si>
  <si>
    <t xml:space="preserve">               0714822942</t>
  </si>
  <si>
    <t xml:space="preserve">               0713496076</t>
  </si>
  <si>
    <t xml:space="preserve">               0715065904</t>
  </si>
  <si>
    <t xml:space="preserve">               0713978430</t>
  </si>
  <si>
    <t xml:space="preserve">               0712013279</t>
  </si>
  <si>
    <t xml:space="preserve">               0713330880</t>
  </si>
  <si>
    <t xml:space="preserve">               0715145571</t>
  </si>
  <si>
    <t xml:space="preserve">               0713683751</t>
  </si>
  <si>
    <t xml:space="preserve">               0717054396</t>
  </si>
  <si>
    <t xml:space="preserve">               0714284605</t>
  </si>
  <si>
    <t xml:space="preserve">               0713125055</t>
  </si>
  <si>
    <t xml:space="preserve">               0721272088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</si>
</sst>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$-409]#,##0.000"/>
  </numFmts>
  <fonts count="3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0"/>
      <name val="Courier New"/>
      <family val="3"/>
      <charset val="204"/>
    </font>
    <font>
      <sz val="11"/>
      <name val="Calibri"/>
      <family val="2"/>
      <charset val="204"/>
      <scheme val="minor"/>
    </font>
    <font>
      <b/>
      <sz val="10"/>
      <name val="Courier New"/>
      <family val="3"/>
      <charset val="204"/>
    </font>
    <font>
      <b/>
      <sz val="11"/>
      <name val="Calibri"/>
      <family val="2"/>
      <charset val="204"/>
      <scheme val="minor"/>
    </font>
    <font>
      <b/>
      <sz val="10"/>
      <color indexed="8"/>
      <name val="Courier New"/>
      <family val="3"/>
      <charset val="204"/>
    </font>
    <font>
      <b/>
      <sz val="9"/>
      <color theme="1"/>
      <name val="Calibri"/>
      <family val="2"/>
      <charset val="204"/>
      <scheme val="minor"/>
    </font>
    <font>
      <sz val="11"/>
      <color indexed="8"/>
      <name val="Courier New"/>
      <family val="3"/>
      <charset val="204"/>
    </font>
    <font>
      <sz val="10"/>
      <color indexed="8"/>
      <name val="Courier New"/>
      <family val="3"/>
      <charset val="204"/>
    </font>
    <font>
      <b/>
      <sz val="11"/>
      <color indexed="8"/>
      <name val="Courier New"/>
      <family val="3"/>
      <charset val="204"/>
    </font>
    <font>
      <sz val="8"/>
      <name val="Calibri"/>
      <family val="2"/>
      <charset val="204"/>
      <scheme val="minor"/>
    </font>
    <font>
      <sz val="10"/>
      <name val="Arial Narrow"/>
      <family val="2"/>
      <charset val="204"/>
    </font>
    <font>
      <b/>
      <sz val="9"/>
      <name val="Courier New"/>
      <family val="3"/>
      <charset val="204"/>
    </font>
    <font>
      <sz val="9"/>
      <color theme="1"/>
      <name val="Courier New"/>
      <family val="3"/>
      <charset val="204"/>
    </font>
    <font>
      <b/>
      <sz val="8"/>
      <name val="Courier New"/>
      <family val="3"/>
      <charset val="204"/>
    </font>
    <font>
      <sz val="8"/>
      <color theme="1"/>
      <name val="Calibri"/>
      <family val="2"/>
      <charset val="204"/>
      <scheme val="minor"/>
    </font>
    <font>
      <sz val="8"/>
      <color theme="1"/>
      <name val="Courier New"/>
      <family val="3"/>
      <charset val="204"/>
    </font>
    <font>
      <b/>
      <sz val="7"/>
      <name val="Courier New"/>
      <family val="3"/>
      <charset val="204"/>
    </font>
    <font>
      <sz val="7"/>
      <color theme="1"/>
      <name val="Calibri"/>
      <family val="2"/>
      <charset val="204"/>
      <scheme val="minor"/>
    </font>
    <font>
      <sz val="9"/>
      <name val="Times New Roman"/>
      <family val="1"/>
      <charset val="204"/>
    </font>
    <font>
      <sz val="9"/>
      <color theme="1"/>
      <name val="Calibri"/>
      <family val="2"/>
      <charset val="204"/>
      <scheme val="minor"/>
    </font>
    <font>
      <sz val="8"/>
      <name val="Times New Roman"/>
      <family val="1"/>
      <charset val="204"/>
    </font>
    <font>
      <sz val="8"/>
      <color indexed="8"/>
      <name val="Courier New"/>
      <family val="3"/>
      <charset val="204"/>
    </font>
    <font>
      <sz val="7"/>
      <color indexed="8"/>
      <name val="Courier New"/>
      <family val="3"/>
      <charset val="204"/>
    </font>
    <font>
      <sz val="9"/>
      <color indexed="8"/>
      <name val="Times New Roman"/>
      <family val="1"/>
      <charset val="204"/>
    </font>
    <font>
      <sz val="12"/>
      <name val="Arial Narrow"/>
      <family val="2"/>
      <charset val="204"/>
    </font>
    <font>
      <sz val="10"/>
      <color theme="1"/>
      <name val="Calibri"/>
      <family val="2"/>
      <charset val="204"/>
      <scheme val="minor"/>
    </font>
    <font>
      <b/>
      <sz val="10"/>
      <name val="Arial Narrow"/>
      <family val="2"/>
      <charset val="204"/>
    </font>
    <font>
      <sz val="10"/>
      <name val="Times New Roman"/>
      <family val="1"/>
      <charset val="204"/>
    </font>
    <font>
      <b/>
      <sz val="10"/>
      <color rgb="FFFF0000"/>
      <name val="Courier New"/>
      <family val="3"/>
      <charset val="204"/>
    </font>
    <font>
      <b/>
      <sz val="9"/>
      <color rgb="FFFF0000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0" fillId="3" borderId="0" xfId="0" applyNumberFormat="1" applyFill="1" applyAlignment="1">
      <alignment horizontal="center"/>
    </xf>
    <xf numFmtId="1" fontId="0" fillId="3" borderId="0" xfId="0" applyNumberFormat="1" applyFill="1"/>
    <xf numFmtId="49" fontId="0" fillId="3" borderId="0" xfId="0" applyNumberFormat="1" applyFill="1"/>
    <xf numFmtId="165" fontId="0" fillId="3" borderId="0" xfId="0" applyNumberFormat="1" applyFill="1"/>
    <xf numFmtId="0" fontId="0" fillId="3" borderId="0" xfId="0" applyFill="1"/>
    <xf numFmtId="0" fontId="7" fillId="0" borderId="0" xfId="0" applyFont="1" applyAlignment="1">
      <alignment horizontal="center" vertical="center"/>
    </xf>
    <xf numFmtId="0" fontId="9" fillId="0" borderId="0" xfId="0" applyFont="1"/>
    <xf numFmtId="0" fontId="3" fillId="0" borderId="0" xfId="0" applyFont="1"/>
    <xf numFmtId="49" fontId="3" fillId="0" borderId="0" xfId="0" applyNumberFormat="1" applyFont="1"/>
    <xf numFmtId="49" fontId="10" fillId="0" borderId="0" xfId="0" applyNumberFormat="1" applyFont="1"/>
    <xf numFmtId="49" fontId="9" fillId="0" borderId="0" xfId="0" applyNumberFormat="1" applyFont="1"/>
    <xf numFmtId="0" fontId="7" fillId="0" borderId="0" xfId="0" applyFont="1" applyBorder="1" applyAlignment="1">
      <alignment horizontal="center" vertical="center"/>
    </xf>
    <xf numFmtId="22" fontId="8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/>
    <xf numFmtId="0" fontId="3" fillId="0" borderId="0" xfId="0" applyFont="1" applyBorder="1"/>
    <xf numFmtId="49" fontId="3" fillId="0" borderId="0" xfId="0" applyNumberFormat="1" applyFont="1" applyBorder="1"/>
    <xf numFmtId="49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0" fontId="13" fillId="0" borderId="0" xfId="0" applyFont="1" applyAlignment="1">
      <alignment horizontal="left"/>
    </xf>
    <xf numFmtId="0" fontId="14" fillId="0" borderId="1" xfId="0" applyFont="1" applyBorder="1" applyAlignment="1">
      <alignment horizontal="left" vertical="center"/>
    </xf>
    <xf numFmtId="0" fontId="15" fillId="0" borderId="2" xfId="0" applyFont="1" applyBorder="1"/>
    <xf numFmtId="0" fontId="14" fillId="2" borderId="2" xfId="0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/>
    </xf>
    <xf numFmtId="0" fontId="0" fillId="4" borderId="0" xfId="0" applyFill="1"/>
    <xf numFmtId="2" fontId="16" fillId="4" borderId="0" xfId="0" applyNumberFormat="1" applyFont="1" applyFill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22" fontId="17" fillId="4" borderId="0" xfId="0" applyNumberFormat="1" applyFont="1" applyFill="1" applyAlignment="1">
      <alignment horizontal="center" vertical="center"/>
    </xf>
    <xf numFmtId="0" fontId="15" fillId="0" borderId="4" xfId="0" applyFont="1" applyBorder="1"/>
    <xf numFmtId="22" fontId="17" fillId="0" borderId="4" xfId="0" applyNumberFormat="1" applyFont="1" applyBorder="1" applyAlignment="1">
      <alignment horizontal="right" vertical="center"/>
    </xf>
    <xf numFmtId="0" fontId="17" fillId="0" borderId="4" xfId="0" applyFont="1" applyBorder="1" applyAlignment="1">
      <alignment horizontal="right"/>
    </xf>
    <xf numFmtId="0" fontId="17" fillId="2" borderId="5" xfId="0" applyFont="1" applyFill="1" applyBorder="1" applyAlignment="1">
      <alignment horizontal="center" vertical="center"/>
    </xf>
    <xf numFmtId="0" fontId="17" fillId="4" borderId="0" xfId="0" applyFont="1" applyFill="1"/>
    <xf numFmtId="0" fontId="18" fillId="2" borderId="5" xfId="0" applyFont="1" applyFill="1" applyBorder="1" applyAlignment="1">
      <alignment horizontal="center" vertical="center"/>
    </xf>
    <xf numFmtId="2" fontId="19" fillId="2" borderId="5" xfId="0" applyNumberFormat="1" applyFont="1" applyFill="1" applyBorder="1" applyAlignment="1">
      <alignment horizontal="center" vertical="center"/>
    </xf>
    <xf numFmtId="0" fontId="0" fillId="0" borderId="5" xfId="0" applyBorder="1"/>
    <xf numFmtId="0" fontId="5" fillId="0" borderId="5" xfId="0" applyFont="1" applyBorder="1" applyAlignment="1">
      <alignment horizontal="center" vertical="top"/>
    </xf>
    <xf numFmtId="0" fontId="16" fillId="4" borderId="0" xfId="0" applyFont="1" applyFill="1" applyAlignment="1">
      <alignment horizontal="center" vertical="top"/>
    </xf>
    <xf numFmtId="0" fontId="20" fillId="4" borderId="0" xfId="0" applyFont="1" applyFill="1"/>
    <xf numFmtId="0" fontId="0" fillId="0" borderId="5" xfId="0" applyBorder="1" applyAlignment="1">
      <alignment horizontal="center" vertical="center"/>
    </xf>
    <xf numFmtId="0" fontId="21" fillId="5" borderId="5" xfId="0" applyFont="1" applyFill="1" applyBorder="1" applyAlignment="1">
      <alignment horizontal="left" vertical="center"/>
    </xf>
    <xf numFmtId="0" fontId="21" fillId="5" borderId="5" xfId="0" applyFont="1" applyFill="1" applyBorder="1" applyAlignment="1">
      <alignment horizontal="center" vertical="center"/>
    </xf>
    <xf numFmtId="2" fontId="21" fillId="0" borderId="5" xfId="0" applyNumberFormat="1" applyFont="1" applyBorder="1" applyAlignment="1">
      <alignment horizontal="center" vertical="center"/>
    </xf>
    <xf numFmtId="1" fontId="22" fillId="0" borderId="5" xfId="0" applyNumberFormat="1" applyFont="1" applyBorder="1" applyAlignment="1">
      <alignment horizontal="center"/>
    </xf>
    <xf numFmtId="1" fontId="21" fillId="5" borderId="5" xfId="0" applyNumberFormat="1" applyFont="1" applyFill="1" applyBorder="1" applyAlignment="1">
      <alignment horizontal="center" vertical="center"/>
    </xf>
    <xf numFmtId="1" fontId="16" fillId="4" borderId="6" xfId="0" applyNumberFormat="1" applyFont="1" applyFill="1" applyBorder="1" applyAlignment="1">
      <alignment horizontal="center" vertical="center"/>
    </xf>
    <xf numFmtId="1" fontId="18" fillId="2" borderId="5" xfId="0" applyNumberFormat="1" applyFont="1" applyFill="1" applyBorder="1" applyAlignment="1">
      <alignment horizontal="center"/>
    </xf>
    <xf numFmtId="2" fontId="23" fillId="4" borderId="5" xfId="0" applyNumberFormat="1" applyFont="1" applyFill="1" applyBorder="1" applyAlignment="1">
      <alignment horizontal="center" vertical="center"/>
    </xf>
    <xf numFmtId="0" fontId="24" fillId="4" borderId="0" xfId="0" applyFont="1" applyFill="1" applyAlignment="1">
      <alignment horizontal="center" vertical="center"/>
    </xf>
    <xf numFmtId="2" fontId="25" fillId="4" borderId="0" xfId="0" applyNumberFormat="1" applyFont="1" applyFill="1" applyAlignment="1">
      <alignment horizontal="center" vertical="center"/>
    </xf>
    <xf numFmtId="0" fontId="26" fillId="0" borderId="0" xfId="0" applyFont="1" applyAlignment="1">
      <alignment vertical="center"/>
    </xf>
    <xf numFmtId="1" fontId="16" fillId="4" borderId="7" xfId="0" applyNumberFormat="1" applyFont="1" applyFill="1" applyBorder="1" applyAlignment="1">
      <alignment horizontal="center" vertical="center"/>
    </xf>
    <xf numFmtId="0" fontId="27" fillId="0" borderId="5" xfId="0" applyFont="1" applyBorder="1" applyAlignment="1">
      <alignment vertical="center"/>
    </xf>
    <xf numFmtId="0" fontId="28" fillId="0" borderId="5" xfId="0" applyFont="1" applyBorder="1" applyAlignment="1">
      <alignment vertical="center"/>
    </xf>
    <xf numFmtId="0" fontId="29" fillId="0" borderId="5" xfId="0" applyFont="1" applyBorder="1" applyAlignment="1">
      <alignment vertical="center"/>
    </xf>
    <xf numFmtId="1" fontId="30" fillId="0" borderId="5" xfId="0" applyNumberFormat="1" applyFont="1" applyBorder="1" applyAlignment="1">
      <alignment vertical="center"/>
    </xf>
    <xf numFmtId="0" fontId="24" fillId="4" borderId="0" xfId="0" applyFont="1" applyFill="1" applyAlignment="1">
      <alignment vertical="center"/>
    </xf>
    <xf numFmtId="2" fontId="25" fillId="4" borderId="0" xfId="0" applyNumberFormat="1" applyFont="1" applyFill="1" applyAlignment="1">
      <alignment vertical="center"/>
    </xf>
    <xf numFmtId="1" fontId="16" fillId="4" borderId="8" xfId="0" applyNumberFormat="1" applyFont="1" applyFill="1" applyBorder="1" applyAlignment="1">
      <alignment horizontal="center" vertical="center"/>
    </xf>
    <xf numFmtId="49" fontId="1" fillId="3" borderId="0" xfId="0" applyNumberFormat="1" applyFont="1" applyFill="1" applyAlignment="1">
      <alignment horizontal="center"/>
    </xf>
    <xf numFmtId="49" fontId="1" fillId="3" borderId="0" xfId="0" applyNumberFormat="1" applyFont="1" applyFill="1"/>
    <xf numFmtId="1" fontId="0" fillId="3" borderId="0" xfId="0" applyNumberFormat="1" applyFill="1" applyAlignment="1">
      <alignment horizontal="center"/>
    </xf>
    <xf numFmtId="164" fontId="0" fillId="3" borderId="0" xfId="0" applyNumberFormat="1" applyFill="1"/>
    <xf numFmtId="165" fontId="4" fillId="3" borderId="0" xfId="0" applyNumberFormat="1" applyFont="1" applyFill="1"/>
    <xf numFmtId="165" fontId="2" fillId="3" borderId="0" xfId="0" applyNumberFormat="1" applyFont="1" applyFill="1"/>
    <xf numFmtId="165" fontId="6" fillId="3" borderId="0" xfId="0" applyNumberFormat="1" applyFont="1" applyFill="1"/>
    <xf numFmtId="165" fontId="1" fillId="3" borderId="0" xfId="0" applyNumberFormat="1" applyFont="1" applyFill="1"/>
    <xf numFmtId="49" fontId="3" fillId="3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Border="1"/>
    <xf numFmtId="49" fontId="3" fillId="3" borderId="0" xfId="0" applyNumberFormat="1" applyFont="1" applyFill="1"/>
    <xf numFmtId="49" fontId="9" fillId="3" borderId="0" xfId="0" applyNumberFormat="1" applyFont="1" applyFill="1"/>
    <xf numFmtId="49" fontId="7" fillId="3" borderId="0" xfId="0" applyNumberFormat="1" applyFont="1" applyFill="1" applyAlignment="1">
      <alignment horizontal="center" vertical="center"/>
    </xf>
    <xf numFmtId="49" fontId="7" fillId="3" borderId="0" xfId="0" applyNumberFormat="1" applyFont="1" applyFill="1" applyBorder="1" applyAlignment="1">
      <alignment horizontal="center" vertical="center"/>
    </xf>
    <xf numFmtId="49" fontId="8" fillId="3" borderId="0" xfId="0" applyNumberFormat="1" applyFont="1" applyFill="1" applyBorder="1" applyAlignment="1">
      <alignment horizontal="center" vertical="center"/>
    </xf>
    <xf numFmtId="49" fontId="9" fillId="3" borderId="0" xfId="0" applyNumberFormat="1" applyFont="1" applyFill="1" applyBorder="1" applyAlignment="1">
      <alignment horizontal="center" vertical="center"/>
    </xf>
    <xf numFmtId="49" fontId="9" fillId="3" borderId="0" xfId="0" applyNumberFormat="1" applyFont="1" applyFill="1" applyBorder="1"/>
    <xf numFmtId="49" fontId="0" fillId="2" borderId="0" xfId="0" applyNumberFormat="1" applyFill="1"/>
    <xf numFmtId="0" fontId="0" fillId="2" borderId="0" xfId="0" applyNumberFormat="1" applyFill="1"/>
    <xf numFmtId="0" fontId="0" fillId="2" borderId="0" xfId="0" applyFill="1"/>
    <xf numFmtId="49" fontId="7" fillId="6" borderId="0" xfId="0" applyNumberFormat="1" applyFont="1" applyFill="1" applyAlignment="1">
      <alignment horizontal="center" vertical="center"/>
    </xf>
    <xf numFmtId="0" fontId="3" fillId="6" borderId="0" xfId="0" applyNumberFormat="1" applyFont="1" applyFill="1" applyAlignment="1">
      <alignment horizontal="center" vertical="center"/>
    </xf>
    <xf numFmtId="0" fontId="0" fillId="6" borderId="0" xfId="0" applyFill="1"/>
    <xf numFmtId="49" fontId="3" fillId="6" borderId="0" xfId="0" applyNumberFormat="1" applyFont="1" applyFill="1" applyAlignment="1">
      <alignment horizontal="center" vertical="center"/>
    </xf>
    <xf numFmtId="49" fontId="0" fillId="6" borderId="0" xfId="0" applyNumberFormat="1" applyFill="1"/>
    <xf numFmtId="49" fontId="7" fillId="7" borderId="0" xfId="0" applyNumberFormat="1" applyFont="1" applyFill="1" applyBorder="1" applyAlignment="1">
      <alignment horizontal="center" vertical="center"/>
    </xf>
    <xf numFmtId="0" fontId="0" fillId="7" borderId="0" xfId="0" applyFill="1"/>
    <xf numFmtId="49" fontId="31" fillId="6" borderId="0" xfId="0" applyNumberFormat="1" applyFont="1" applyFill="1" applyAlignment="1">
      <alignment horizontal="center" vertical="center"/>
    </xf>
    <xf numFmtId="49" fontId="31" fillId="7" borderId="0" xfId="0" applyNumberFormat="1" applyFont="1" applyFill="1" applyBorder="1" applyAlignment="1">
      <alignment horizontal="center" vertical="center"/>
    </xf>
    <xf numFmtId="0" fontId="3" fillId="3" borderId="0" xfId="0" applyNumberFormat="1" applyFont="1" applyFill="1"/>
    <xf numFmtId="0" fontId="8" fillId="3" borderId="0" xfId="0" applyNumberFormat="1" applyFont="1" applyFill="1" applyBorder="1" applyAlignment="1">
      <alignment horizontal="center" vertical="center"/>
    </xf>
    <xf numFmtId="0" fontId="3" fillId="3" borderId="0" xfId="0" applyNumberFormat="1" applyFont="1" applyFill="1" applyBorder="1"/>
    <xf numFmtId="0" fontId="10" fillId="3" borderId="0" xfId="0" applyNumberFormat="1" applyFont="1" applyFill="1"/>
    <xf numFmtId="0" fontId="9" fillId="3" borderId="0" xfId="0" applyNumberFormat="1" applyFont="1" applyFill="1"/>
    <xf numFmtId="0" fontId="0" fillId="3" borderId="0" xfId="0" applyNumberFormat="1" applyFill="1"/>
    <xf numFmtId="0" fontId="32" fillId="3" borderId="0" xfId="0" applyNumberFormat="1" applyFont="1" applyFill="1" applyBorder="1" applyAlignment="1">
      <alignment horizontal="center" vertical="center"/>
    </xf>
    <xf numFmtId="0" fontId="8" fillId="8" borderId="0" xfId="0" applyNumberFormat="1" applyFont="1" applyFill="1" applyBorder="1" applyAlignment="1">
      <alignment horizontal="center" vertical="center"/>
    </xf>
    <xf numFmtId="0" fontId="32" fillId="8" borderId="0" xfId="0" applyNumberFormat="1" applyFont="1" applyFill="1" applyBorder="1" applyAlignment="1">
      <alignment horizontal="center" vertical="center"/>
    </xf>
    <xf numFmtId="0" fontId="3" fillId="8" borderId="0" xfId="0" applyNumberFormat="1" applyFont="1" applyFill="1"/>
    <xf numFmtId="0" fontId="0" fillId="8" borderId="0" xfId="0" applyFill="1"/>
    <xf numFmtId="0" fontId="9" fillId="8" borderId="0" xfId="0" applyNumberFormat="1" applyFont="1" applyFill="1"/>
    <xf numFmtId="0" fontId="0" fillId="8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4FA47-B27E-4AF2-8A3A-297A9D430A38}">
  <dimension ref="A1:I393"/>
  <sheetViews>
    <sheetView workbookViewId="0">
      <selection activeCell="B2" sqref="B2"/>
    </sheetView>
  </sheetViews>
  <sheetFormatPr defaultRowHeight="15" x14ac:dyDescent="0.25"/>
  <cols>
    <col min="1" max="2" width="11" style="7" bestFit="1" customWidth="1"/>
    <col min="3" max="3" width="73.140625" style="7" customWidth="1"/>
    <col min="4" max="4" width="6.42578125" style="7" bestFit="1" customWidth="1"/>
    <col min="5" max="5" width="7.5703125" style="7" bestFit="1" customWidth="1"/>
    <col min="6" max="6" width="12.140625" style="7" customWidth="1"/>
    <col min="7" max="7" width="15.85546875" style="7" customWidth="1"/>
    <col min="9" max="9" width="9.140625" style="7"/>
    <col min="10" max="10" width="14.28515625" customWidth="1"/>
    <col min="12" max="12" width="11" bestFit="1" customWidth="1"/>
    <col min="13" max="13" width="11.140625" customWidth="1"/>
  </cols>
  <sheetData>
    <row r="1" spans="1:9" x14ac:dyDescent="0.25">
      <c r="A1" s="7" t="s">
        <v>737</v>
      </c>
      <c r="B1" s="3" t="s">
        <v>0</v>
      </c>
      <c r="C1" s="4" t="s">
        <v>1</v>
      </c>
      <c r="D1" s="4" t="s">
        <v>2</v>
      </c>
      <c r="E1" s="5" t="s">
        <v>3</v>
      </c>
      <c r="F1" s="69" t="s">
        <v>744</v>
      </c>
      <c r="G1" s="7" t="s">
        <v>738</v>
      </c>
      <c r="H1" s="1"/>
      <c r="I1" s="5" t="s">
        <v>1522</v>
      </c>
    </row>
    <row r="2" spans="1:9" x14ac:dyDescent="0.25">
      <c r="A2" s="7" t="s">
        <v>1131</v>
      </c>
      <c r="B2" s="3" t="s">
        <v>1433</v>
      </c>
      <c r="C2" s="4" t="s">
        <v>4</v>
      </c>
      <c r="D2" s="4" t="s">
        <v>5</v>
      </c>
      <c r="E2" s="5" t="s">
        <v>6</v>
      </c>
      <c r="F2" s="6">
        <v>1.9601534463556491</v>
      </c>
      <c r="G2" s="7" t="s">
        <v>739</v>
      </c>
      <c r="H2" s="1">
        <v>1.9601534463556491</v>
      </c>
      <c r="I2" s="7" t="str">
        <f t="shared" ref="I2:I65" si="0">FIXED(H2,3)</f>
        <v>1,960</v>
      </c>
    </row>
    <row r="3" spans="1:9" x14ac:dyDescent="0.25">
      <c r="A3" s="7" t="s">
        <v>1132</v>
      </c>
      <c r="B3" s="3" t="s">
        <v>1131</v>
      </c>
      <c r="C3" s="4" t="s">
        <v>7</v>
      </c>
      <c r="D3" s="4" t="s">
        <v>5</v>
      </c>
      <c r="E3" s="5" t="s">
        <v>6</v>
      </c>
      <c r="F3" s="6">
        <v>2.3734686301200347</v>
      </c>
      <c r="G3" s="7" t="s">
        <v>740</v>
      </c>
      <c r="H3" s="1">
        <v>2.3734686301200347</v>
      </c>
      <c r="I3" s="7" t="str">
        <f t="shared" si="0"/>
        <v>2,373</v>
      </c>
    </row>
    <row r="4" spans="1:9" x14ac:dyDescent="0.25">
      <c r="A4" s="7" t="s">
        <v>1133</v>
      </c>
      <c r="B4" s="3" t="s">
        <v>1132</v>
      </c>
      <c r="C4" s="4" t="s">
        <v>8</v>
      </c>
      <c r="D4" s="4" t="s">
        <v>5</v>
      </c>
      <c r="E4" s="5" t="s">
        <v>6</v>
      </c>
      <c r="F4" s="6">
        <v>0.71142190728519461</v>
      </c>
      <c r="G4" s="7" t="s">
        <v>741</v>
      </c>
      <c r="H4" s="1">
        <v>0.71142190728519461</v>
      </c>
      <c r="I4" s="7" t="str">
        <f t="shared" si="0"/>
        <v>0,711</v>
      </c>
    </row>
    <row r="5" spans="1:9" x14ac:dyDescent="0.25">
      <c r="A5" s="7" t="s">
        <v>1134</v>
      </c>
      <c r="B5" s="3" t="s">
        <v>1133</v>
      </c>
      <c r="C5" s="4" t="s">
        <v>9</v>
      </c>
      <c r="D5" s="4" t="s">
        <v>5</v>
      </c>
      <c r="E5" s="5" t="s">
        <v>6</v>
      </c>
      <c r="F5" s="6">
        <v>1.9948026234376934</v>
      </c>
      <c r="G5" s="7" t="s">
        <v>742</v>
      </c>
      <c r="H5" s="1">
        <v>1.9948026234376934</v>
      </c>
      <c r="I5" s="7" t="str">
        <f t="shared" si="0"/>
        <v>1,995</v>
      </c>
    </row>
    <row r="6" spans="1:9" x14ac:dyDescent="0.25">
      <c r="A6" s="7" t="s">
        <v>1135</v>
      </c>
      <c r="B6" s="3" t="s">
        <v>1134</v>
      </c>
      <c r="C6" s="4" t="s">
        <v>10</v>
      </c>
      <c r="D6" s="4" t="s">
        <v>5</v>
      </c>
      <c r="E6" s="5" t="s">
        <v>6</v>
      </c>
      <c r="F6" s="6">
        <v>0.90087860413315191</v>
      </c>
      <c r="G6" s="7" t="s">
        <v>743</v>
      </c>
      <c r="H6" s="1">
        <v>0.90087860413315191</v>
      </c>
      <c r="I6" s="7" t="str">
        <f t="shared" si="0"/>
        <v>0,901</v>
      </c>
    </row>
    <row r="7" spans="1:9" x14ac:dyDescent="0.25">
      <c r="A7" s="7" t="s">
        <v>1136</v>
      </c>
      <c r="B7" s="3" t="s">
        <v>1135</v>
      </c>
      <c r="C7" s="4" t="s">
        <v>11</v>
      </c>
      <c r="D7" s="4" t="s">
        <v>5</v>
      </c>
      <c r="E7" s="5" t="s">
        <v>12</v>
      </c>
      <c r="F7" s="6">
        <v>8.4753983776595749</v>
      </c>
      <c r="G7" s="7" t="s">
        <v>745</v>
      </c>
      <c r="H7" s="1">
        <v>8.4753983776595749</v>
      </c>
      <c r="I7" s="7" t="str">
        <f t="shared" si="0"/>
        <v>8,475</v>
      </c>
    </row>
    <row r="8" spans="1:9" x14ac:dyDescent="0.25">
      <c r="A8" s="7" t="s">
        <v>1137</v>
      </c>
      <c r="B8" s="3" t="s">
        <v>1432</v>
      </c>
      <c r="C8" s="4" t="s">
        <v>13</v>
      </c>
      <c r="D8" s="4" t="s">
        <v>5</v>
      </c>
      <c r="E8" s="5" t="s">
        <v>12</v>
      </c>
      <c r="F8" s="70">
        <v>1.8654256436170216</v>
      </c>
      <c r="G8" s="7" t="s">
        <v>746</v>
      </c>
      <c r="H8" s="1">
        <v>1.8654256436170216</v>
      </c>
      <c r="I8" s="7" t="str">
        <f t="shared" si="0"/>
        <v>1,865</v>
      </c>
    </row>
    <row r="9" spans="1:9" x14ac:dyDescent="0.25">
      <c r="A9" s="7" t="s">
        <v>1138</v>
      </c>
      <c r="B9" s="3" t="s">
        <v>1136</v>
      </c>
      <c r="C9" s="4" t="s">
        <v>14</v>
      </c>
      <c r="D9" s="4" t="s">
        <v>5</v>
      </c>
      <c r="E9" s="5" t="s">
        <v>12</v>
      </c>
      <c r="F9" s="6">
        <v>6.8277925531914896</v>
      </c>
      <c r="G9" s="7" t="s">
        <v>747</v>
      </c>
      <c r="H9" s="1">
        <v>6.8277925531914896</v>
      </c>
      <c r="I9" s="7" t="str">
        <f t="shared" si="0"/>
        <v>6,828</v>
      </c>
    </row>
    <row r="10" spans="1:9" x14ac:dyDescent="0.25">
      <c r="A10" s="7" t="s">
        <v>1139</v>
      </c>
      <c r="B10" s="3" t="s">
        <v>1295</v>
      </c>
      <c r="C10" s="4" t="s">
        <v>15</v>
      </c>
      <c r="D10" s="4" t="s">
        <v>5</v>
      </c>
      <c r="E10" s="5" t="s">
        <v>12</v>
      </c>
      <c r="F10" s="6">
        <v>6.4089095744680851</v>
      </c>
      <c r="G10" s="7" t="s">
        <v>748</v>
      </c>
      <c r="H10" s="1">
        <v>6.4089095744680851</v>
      </c>
      <c r="I10" s="7" t="str">
        <f t="shared" si="0"/>
        <v>6,409</v>
      </c>
    </row>
    <row r="11" spans="1:9" x14ac:dyDescent="0.25">
      <c r="A11" s="7" t="s">
        <v>1140</v>
      </c>
      <c r="B11" s="3" t="s">
        <v>1431</v>
      </c>
      <c r="C11" s="4" t="s">
        <v>16</v>
      </c>
      <c r="D11" s="4" t="s">
        <v>5</v>
      </c>
      <c r="E11" s="5" t="s">
        <v>6</v>
      </c>
      <c r="F11" s="6">
        <v>3.1802994678876377</v>
      </c>
      <c r="G11" s="7" t="s">
        <v>749</v>
      </c>
      <c r="H11" s="1">
        <v>3.1802994678876377</v>
      </c>
      <c r="I11" s="7" t="str">
        <f t="shared" si="0"/>
        <v>3,180</v>
      </c>
    </row>
    <row r="12" spans="1:9" x14ac:dyDescent="0.25">
      <c r="A12" s="7" t="s">
        <v>1141</v>
      </c>
      <c r="B12" s="3" t="s">
        <v>1137</v>
      </c>
      <c r="C12" s="4" t="s">
        <v>17</v>
      </c>
      <c r="D12" s="4" t="s">
        <v>5</v>
      </c>
      <c r="E12" s="5" t="s">
        <v>6</v>
      </c>
      <c r="F12" s="6">
        <v>1.4690400423161809</v>
      </c>
      <c r="G12" s="7" t="s">
        <v>750</v>
      </c>
      <c r="H12" s="1">
        <v>1.4690400423161809</v>
      </c>
      <c r="I12" s="7" t="str">
        <f t="shared" si="0"/>
        <v>1,469</v>
      </c>
    </row>
    <row r="13" spans="1:9" x14ac:dyDescent="0.25">
      <c r="A13" s="7" t="s">
        <v>1142</v>
      </c>
      <c r="B13" s="3" t="s">
        <v>1138</v>
      </c>
      <c r="C13" s="4" t="s">
        <v>18</v>
      </c>
      <c r="D13" s="4" t="s">
        <v>5</v>
      </c>
      <c r="E13" s="5" t="s">
        <v>6</v>
      </c>
      <c r="F13" s="6">
        <v>1.039475312461329</v>
      </c>
      <c r="G13" s="7" t="s">
        <v>751</v>
      </c>
      <c r="H13" s="1">
        <v>1.039475312461329</v>
      </c>
      <c r="I13" s="7" t="str">
        <f t="shared" si="0"/>
        <v>1,039</v>
      </c>
    </row>
    <row r="14" spans="1:9" x14ac:dyDescent="0.25">
      <c r="A14" s="7" t="s">
        <v>1143</v>
      </c>
      <c r="B14" s="3" t="s">
        <v>1139</v>
      </c>
      <c r="C14" s="4" t="s">
        <v>19</v>
      </c>
      <c r="D14" s="4" t="s">
        <v>5</v>
      </c>
      <c r="E14" s="5" t="s">
        <v>6</v>
      </c>
      <c r="F14" s="6">
        <v>7.3682983254538001</v>
      </c>
      <c r="G14" s="7" t="s">
        <v>752</v>
      </c>
      <c r="H14" s="1">
        <v>7.3682983254538001</v>
      </c>
      <c r="I14" s="7" t="str">
        <f t="shared" si="0"/>
        <v>7,368</v>
      </c>
    </row>
    <row r="15" spans="1:9" x14ac:dyDescent="0.25">
      <c r="A15" s="7" t="s">
        <v>1144</v>
      </c>
      <c r="B15" s="3" t="s">
        <v>1140</v>
      </c>
      <c r="C15" s="4" t="s">
        <v>20</v>
      </c>
      <c r="D15" s="4" t="s">
        <v>5</v>
      </c>
      <c r="E15" s="5" t="s">
        <v>6</v>
      </c>
      <c r="F15" s="6">
        <v>3.9500061873530505</v>
      </c>
      <c r="G15" s="7" t="s">
        <v>753</v>
      </c>
      <c r="H15" s="1">
        <v>3.9500061873530505</v>
      </c>
      <c r="I15" s="7" t="str">
        <f t="shared" si="0"/>
        <v>3,950</v>
      </c>
    </row>
    <row r="16" spans="1:9" x14ac:dyDescent="0.25">
      <c r="A16" s="7" t="s">
        <v>1145</v>
      </c>
      <c r="B16" s="3" t="s">
        <v>1477</v>
      </c>
      <c r="C16" s="4" t="s">
        <v>21</v>
      </c>
      <c r="D16" s="4" t="s">
        <v>5</v>
      </c>
      <c r="E16" s="5" t="s">
        <v>12</v>
      </c>
      <c r="F16" s="6">
        <v>2.0134307393617021</v>
      </c>
      <c r="G16" s="7" t="s">
        <v>754</v>
      </c>
      <c r="H16" s="1">
        <v>2.0134307393617021</v>
      </c>
      <c r="I16" s="7" t="str">
        <f t="shared" si="0"/>
        <v>2,013</v>
      </c>
    </row>
    <row r="17" spans="1:9" x14ac:dyDescent="0.25">
      <c r="A17" s="7" t="s">
        <v>1146</v>
      </c>
      <c r="B17" s="3" t="s">
        <v>1141</v>
      </c>
      <c r="C17" s="4" t="s">
        <v>22</v>
      </c>
      <c r="D17" s="4" t="s">
        <v>5</v>
      </c>
      <c r="E17" s="5" t="s">
        <v>12</v>
      </c>
      <c r="F17" s="6">
        <v>7.3304521276595738</v>
      </c>
      <c r="G17" s="7" t="s">
        <v>755</v>
      </c>
      <c r="H17" s="1">
        <v>7.3304521276595738</v>
      </c>
      <c r="I17" s="7" t="str">
        <f t="shared" si="0"/>
        <v>7,330</v>
      </c>
    </row>
    <row r="18" spans="1:9" x14ac:dyDescent="0.25">
      <c r="A18" s="7" t="s">
        <v>1147</v>
      </c>
      <c r="B18" s="3" t="s">
        <v>1142</v>
      </c>
      <c r="C18" s="4" t="s">
        <v>23</v>
      </c>
      <c r="D18" s="4" t="s">
        <v>5</v>
      </c>
      <c r="E18" s="5" t="s">
        <v>6</v>
      </c>
      <c r="F18" s="6">
        <v>1.1260982551664396</v>
      </c>
      <c r="G18" s="7" t="s">
        <v>756</v>
      </c>
      <c r="H18" s="1">
        <v>1.1260982551664396</v>
      </c>
      <c r="I18" s="7" t="str">
        <f t="shared" si="0"/>
        <v>1,126</v>
      </c>
    </row>
    <row r="19" spans="1:9" x14ac:dyDescent="0.25">
      <c r="A19" s="7" t="s">
        <v>1148</v>
      </c>
      <c r="B19" s="3" t="s">
        <v>1143</v>
      </c>
      <c r="C19" s="4" t="s">
        <v>24</v>
      </c>
      <c r="D19" s="4" t="s">
        <v>5</v>
      </c>
      <c r="E19" s="5" t="s">
        <v>6</v>
      </c>
      <c r="F19" s="6">
        <v>6.1487179129648952</v>
      </c>
      <c r="G19" s="7" t="s">
        <v>757</v>
      </c>
      <c r="H19" s="1">
        <v>6.1487179129648952</v>
      </c>
      <c r="I19" s="7" t="str">
        <f t="shared" si="0"/>
        <v>6,149</v>
      </c>
    </row>
    <row r="20" spans="1:9" x14ac:dyDescent="0.25">
      <c r="A20" s="7" t="s">
        <v>1149</v>
      </c>
      <c r="B20" s="3" t="s">
        <v>1144</v>
      </c>
      <c r="C20" s="4" t="s">
        <v>25</v>
      </c>
      <c r="D20" s="4" t="s">
        <v>5</v>
      </c>
      <c r="E20" s="5" t="s">
        <v>6</v>
      </c>
      <c r="F20" s="6">
        <v>7.4375926670724892</v>
      </c>
      <c r="G20" s="7" t="s">
        <v>758</v>
      </c>
      <c r="H20" s="1">
        <v>7.4375926670724892</v>
      </c>
      <c r="I20" s="7" t="str">
        <f t="shared" si="0"/>
        <v>7,438</v>
      </c>
    </row>
    <row r="21" spans="1:9" x14ac:dyDescent="0.25">
      <c r="A21" s="7" t="s">
        <v>1150</v>
      </c>
      <c r="B21" s="3" t="s">
        <v>1145</v>
      </c>
      <c r="C21" s="4" t="s">
        <v>26</v>
      </c>
      <c r="D21" s="4" t="s">
        <v>5</v>
      </c>
      <c r="E21" s="5" t="s">
        <v>6</v>
      </c>
      <c r="F21" s="6">
        <v>23.606272378099639</v>
      </c>
      <c r="G21" s="7" t="s">
        <v>759</v>
      </c>
      <c r="H21" s="1">
        <v>23.606272378099639</v>
      </c>
      <c r="I21" s="7" t="str">
        <f t="shared" si="0"/>
        <v>23,606</v>
      </c>
    </row>
    <row r="22" spans="1:9" x14ac:dyDescent="0.25">
      <c r="A22" s="7" t="s">
        <v>1151</v>
      </c>
      <c r="B22" s="66" t="s">
        <v>1453</v>
      </c>
      <c r="C22" s="4" t="s">
        <v>27</v>
      </c>
      <c r="D22" s="4" t="s">
        <v>28</v>
      </c>
      <c r="E22" s="5" t="s">
        <v>6</v>
      </c>
      <c r="F22" s="71">
        <v>2.1555626762368623</v>
      </c>
      <c r="G22" s="7" t="s">
        <v>760</v>
      </c>
      <c r="H22" s="1">
        <v>2.1555626762368623</v>
      </c>
      <c r="I22" s="7" t="str">
        <f t="shared" si="0"/>
        <v>2,156</v>
      </c>
    </row>
    <row r="23" spans="1:9" x14ac:dyDescent="0.25">
      <c r="A23" s="7" t="s">
        <v>1152</v>
      </c>
      <c r="B23" s="66" t="s">
        <v>1290</v>
      </c>
      <c r="C23" s="4" t="s">
        <v>29</v>
      </c>
      <c r="D23" s="4" t="s">
        <v>5</v>
      </c>
      <c r="E23" s="5" t="s">
        <v>6</v>
      </c>
      <c r="F23" s="71">
        <v>2.3280908364371125</v>
      </c>
      <c r="G23" s="7" t="s">
        <v>761</v>
      </c>
      <c r="H23" s="1">
        <v>2.3280908364371125</v>
      </c>
      <c r="I23" s="7" t="str">
        <f t="shared" si="0"/>
        <v>2,328</v>
      </c>
    </row>
    <row r="24" spans="1:9" x14ac:dyDescent="0.25">
      <c r="A24" s="7" t="s">
        <v>1153</v>
      </c>
      <c r="B24" s="3" t="s">
        <v>1291</v>
      </c>
      <c r="C24" s="4" t="s">
        <v>30</v>
      </c>
      <c r="D24" s="4" t="s">
        <v>5</v>
      </c>
      <c r="E24" s="5" t="s">
        <v>6</v>
      </c>
      <c r="F24" s="6">
        <v>2.3625000000000003</v>
      </c>
      <c r="G24" s="7" t="s">
        <v>762</v>
      </c>
      <c r="H24" s="1">
        <v>2.3625000000000003</v>
      </c>
      <c r="I24" s="7" t="str">
        <f t="shared" si="0"/>
        <v>2,363</v>
      </c>
    </row>
    <row r="25" spans="1:9" x14ac:dyDescent="0.25">
      <c r="A25" s="7" t="s">
        <v>1154</v>
      </c>
      <c r="B25" s="66" t="s">
        <v>1459</v>
      </c>
      <c r="C25" s="4" t="s">
        <v>31</v>
      </c>
      <c r="D25" s="4" t="s">
        <v>28</v>
      </c>
      <c r="E25" s="5" t="s">
        <v>6</v>
      </c>
      <c r="F25" s="71">
        <v>1.7836818398212912</v>
      </c>
      <c r="G25" s="7" t="s">
        <v>763</v>
      </c>
      <c r="H25" s="1">
        <v>1.7836818398212912</v>
      </c>
      <c r="I25" s="7" t="str">
        <f t="shared" si="0"/>
        <v>1,784</v>
      </c>
    </row>
    <row r="26" spans="1:9" x14ac:dyDescent="0.25">
      <c r="A26" s="7" t="s">
        <v>1155</v>
      </c>
      <c r="B26" s="66" t="s">
        <v>1460</v>
      </c>
      <c r="C26" s="4" t="s">
        <v>32</v>
      </c>
      <c r="D26" s="4" t="s">
        <v>28</v>
      </c>
      <c r="E26" s="5" t="s">
        <v>6</v>
      </c>
      <c r="F26" s="71">
        <v>1.8650132444672307</v>
      </c>
      <c r="G26" s="7" t="s">
        <v>764</v>
      </c>
      <c r="H26" s="1">
        <v>1.8650132444672307</v>
      </c>
      <c r="I26" s="7" t="str">
        <f t="shared" si="0"/>
        <v>1,865</v>
      </c>
    </row>
    <row r="27" spans="1:9" x14ac:dyDescent="0.25">
      <c r="A27" s="7" t="s">
        <v>1156</v>
      </c>
      <c r="B27" s="66" t="s">
        <v>1455</v>
      </c>
      <c r="C27" s="4" t="s">
        <v>33</v>
      </c>
      <c r="D27" s="4" t="s">
        <v>28</v>
      </c>
      <c r="E27" s="5" t="s">
        <v>6</v>
      </c>
      <c r="F27" s="71">
        <v>1.0048985836964881</v>
      </c>
      <c r="G27" s="7" t="s">
        <v>765</v>
      </c>
      <c r="H27" s="1">
        <v>1.0048985836964881</v>
      </c>
      <c r="I27" s="7" t="str">
        <f t="shared" si="0"/>
        <v>1,005</v>
      </c>
    </row>
    <row r="28" spans="1:9" x14ac:dyDescent="0.25">
      <c r="A28" s="7" t="s">
        <v>1157</v>
      </c>
      <c r="B28" s="66" t="s">
        <v>1154</v>
      </c>
      <c r="C28" s="4" t="s">
        <v>34</v>
      </c>
      <c r="D28" s="4" t="s">
        <v>28</v>
      </c>
      <c r="E28" s="5" t="s">
        <v>6</v>
      </c>
      <c r="F28" s="71">
        <v>1.0048985836964881</v>
      </c>
      <c r="G28" s="7" t="s">
        <v>766</v>
      </c>
      <c r="H28" s="1">
        <v>1.0048985836964881</v>
      </c>
      <c r="I28" s="7" t="str">
        <f t="shared" si="0"/>
        <v>1,005</v>
      </c>
    </row>
    <row r="29" spans="1:9" x14ac:dyDescent="0.25">
      <c r="A29" s="7" t="s">
        <v>1158</v>
      </c>
      <c r="B29" s="66" t="s">
        <v>1452</v>
      </c>
      <c r="C29" s="4" t="s">
        <v>35</v>
      </c>
      <c r="D29" s="4" t="s">
        <v>28</v>
      </c>
      <c r="E29" s="5" t="s">
        <v>6</v>
      </c>
      <c r="F29" s="71">
        <v>2.8711388105613946</v>
      </c>
      <c r="G29" s="7" t="s">
        <v>767</v>
      </c>
      <c r="H29" s="1">
        <v>2.8711388105613946</v>
      </c>
      <c r="I29" s="7" t="str">
        <f t="shared" si="0"/>
        <v>2,871</v>
      </c>
    </row>
    <row r="30" spans="1:9" x14ac:dyDescent="0.25">
      <c r="A30" s="7" t="s">
        <v>1159</v>
      </c>
      <c r="B30" s="66" t="s">
        <v>1450</v>
      </c>
      <c r="C30" s="4" t="s">
        <v>36</v>
      </c>
      <c r="D30" s="4" t="s">
        <v>28</v>
      </c>
      <c r="E30" s="5" t="s">
        <v>6</v>
      </c>
      <c r="F30" s="71">
        <v>2.8711388105613946</v>
      </c>
      <c r="G30" s="7" t="s">
        <v>768</v>
      </c>
      <c r="H30" s="1">
        <v>2.8711388105613946</v>
      </c>
      <c r="I30" s="7" t="str">
        <f t="shared" si="0"/>
        <v>2,871</v>
      </c>
    </row>
    <row r="31" spans="1:9" x14ac:dyDescent="0.25">
      <c r="A31" s="7" t="s">
        <v>1160</v>
      </c>
      <c r="B31" s="3" t="s">
        <v>1156</v>
      </c>
      <c r="C31" s="4" t="s">
        <v>37</v>
      </c>
      <c r="D31" s="4" t="s">
        <v>28</v>
      </c>
      <c r="E31" s="5" t="s">
        <v>6</v>
      </c>
      <c r="F31" s="6">
        <v>0.57420000000000004</v>
      </c>
      <c r="G31" s="7" t="s">
        <v>769</v>
      </c>
      <c r="H31" s="1">
        <v>0.57420000000000004</v>
      </c>
      <c r="I31" s="7" t="str">
        <f t="shared" si="0"/>
        <v>0,574</v>
      </c>
    </row>
    <row r="32" spans="1:9" x14ac:dyDescent="0.25">
      <c r="A32" s="7" t="s">
        <v>1161</v>
      </c>
      <c r="B32" s="3" t="s">
        <v>1364</v>
      </c>
      <c r="C32" s="4" t="s">
        <v>38</v>
      </c>
      <c r="D32" s="4" t="s">
        <v>5</v>
      </c>
      <c r="E32" s="5" t="s">
        <v>6</v>
      </c>
      <c r="F32" s="6">
        <v>0.59399999999999997</v>
      </c>
      <c r="G32" s="7" t="s">
        <v>770</v>
      </c>
      <c r="H32" s="1">
        <v>0.59399999999999997</v>
      </c>
      <c r="I32" s="7" t="str">
        <f t="shared" si="0"/>
        <v>0,594</v>
      </c>
    </row>
    <row r="33" spans="1:9" x14ac:dyDescent="0.25">
      <c r="A33" s="7" t="s">
        <v>1162</v>
      </c>
      <c r="B33" s="66" t="s">
        <v>1454</v>
      </c>
      <c r="C33" s="4" t="s">
        <v>39</v>
      </c>
      <c r="D33" s="4" t="s">
        <v>28</v>
      </c>
      <c r="E33" s="5" t="s">
        <v>6</v>
      </c>
      <c r="F33" s="71">
        <v>1.0895603691361191</v>
      </c>
      <c r="G33" s="7" t="s">
        <v>771</v>
      </c>
      <c r="H33" s="1">
        <v>1.0895603691361191</v>
      </c>
      <c r="I33" s="7" t="str">
        <f t="shared" si="0"/>
        <v>1,090</v>
      </c>
    </row>
    <row r="34" spans="1:9" x14ac:dyDescent="0.25">
      <c r="A34" s="7" t="s">
        <v>1163</v>
      </c>
      <c r="B34" s="66" t="s">
        <v>1155</v>
      </c>
      <c r="C34" s="4" t="s">
        <v>40</v>
      </c>
      <c r="D34" s="4" t="s">
        <v>28</v>
      </c>
      <c r="E34" s="5" t="s">
        <v>6</v>
      </c>
      <c r="F34" s="71">
        <v>1.0895603691361191</v>
      </c>
      <c r="G34" s="7" t="s">
        <v>772</v>
      </c>
      <c r="H34" s="1">
        <v>1.0895603691361191</v>
      </c>
      <c r="I34" s="7" t="str">
        <f t="shared" si="0"/>
        <v>1,090</v>
      </c>
    </row>
    <row r="35" spans="1:9" x14ac:dyDescent="0.25">
      <c r="A35" s="7" t="s">
        <v>1164</v>
      </c>
      <c r="B35" s="66" t="s">
        <v>1451</v>
      </c>
      <c r="C35" s="4" t="s">
        <v>41</v>
      </c>
      <c r="D35" s="4" t="s">
        <v>28</v>
      </c>
      <c r="E35" s="5" t="s">
        <v>6</v>
      </c>
      <c r="F35" s="71">
        <v>3.4748141502178931</v>
      </c>
      <c r="G35" s="7" t="s">
        <v>773</v>
      </c>
      <c r="H35" s="1">
        <v>3.4748141502178931</v>
      </c>
      <c r="I35" s="7" t="str">
        <f t="shared" si="0"/>
        <v>3,475</v>
      </c>
    </row>
    <row r="36" spans="1:9" x14ac:dyDescent="0.25">
      <c r="A36" s="7" t="s">
        <v>1165</v>
      </c>
      <c r="B36" s="66" t="s">
        <v>1449</v>
      </c>
      <c r="C36" s="4" t="s">
        <v>42</v>
      </c>
      <c r="D36" s="4" t="s">
        <v>28</v>
      </c>
      <c r="E36" s="5" t="s">
        <v>6</v>
      </c>
      <c r="F36" s="71">
        <v>3.4748141502178931</v>
      </c>
      <c r="G36" s="7" t="s">
        <v>774</v>
      </c>
      <c r="H36" s="1">
        <v>3.4748141502178931</v>
      </c>
      <c r="I36" s="7" t="str">
        <f t="shared" si="0"/>
        <v>3,475</v>
      </c>
    </row>
    <row r="37" spans="1:9" x14ac:dyDescent="0.25">
      <c r="A37" s="7" t="s">
        <v>1166</v>
      </c>
      <c r="B37" s="3" t="s">
        <v>1157</v>
      </c>
      <c r="C37" s="4" t="s">
        <v>43</v>
      </c>
      <c r="D37" s="4" t="s">
        <v>28</v>
      </c>
      <c r="E37" s="5" t="s">
        <v>6</v>
      </c>
      <c r="F37" s="6">
        <v>0.69499999999999995</v>
      </c>
      <c r="G37" s="7" t="s">
        <v>775</v>
      </c>
      <c r="H37" s="1">
        <v>0.69499999999999995</v>
      </c>
      <c r="I37" s="7" t="str">
        <f t="shared" si="0"/>
        <v>0,695</v>
      </c>
    </row>
    <row r="38" spans="1:9" x14ac:dyDescent="0.25">
      <c r="A38" s="7" t="s">
        <v>1167</v>
      </c>
      <c r="B38" s="66" t="s">
        <v>1456</v>
      </c>
      <c r="C38" s="4" t="s">
        <v>44</v>
      </c>
      <c r="D38" s="4" t="s">
        <v>28</v>
      </c>
      <c r="E38" s="5" t="s">
        <v>6</v>
      </c>
      <c r="F38" s="71">
        <v>2.4441489361702131</v>
      </c>
      <c r="G38" s="7" t="s">
        <v>776</v>
      </c>
      <c r="H38" s="1">
        <v>2.4441489361702131</v>
      </c>
      <c r="I38" s="7" t="str">
        <f t="shared" si="0"/>
        <v>2,444</v>
      </c>
    </row>
    <row r="39" spans="1:9" x14ac:dyDescent="0.25">
      <c r="A39" s="7" t="s">
        <v>1168</v>
      </c>
      <c r="B39" s="66" t="s">
        <v>1457</v>
      </c>
      <c r="C39" s="4" t="s">
        <v>45</v>
      </c>
      <c r="D39" s="4" t="s">
        <v>28</v>
      </c>
      <c r="E39" s="5" t="s">
        <v>6</v>
      </c>
      <c r="F39" s="71">
        <v>2.4441489361702131</v>
      </c>
      <c r="G39" s="7" t="s">
        <v>777</v>
      </c>
      <c r="H39" s="1">
        <v>2.4441489361702131</v>
      </c>
      <c r="I39" s="7" t="str">
        <f t="shared" si="0"/>
        <v>2,444</v>
      </c>
    </row>
    <row r="40" spans="1:9" x14ac:dyDescent="0.25">
      <c r="A40" s="7" t="s">
        <v>1169</v>
      </c>
      <c r="B40" s="66" t="s">
        <v>1458</v>
      </c>
      <c r="C40" s="4" t="s">
        <v>46</v>
      </c>
      <c r="D40" s="4" t="s">
        <v>28</v>
      </c>
      <c r="E40" s="5" t="s">
        <v>6</v>
      </c>
      <c r="F40" s="71">
        <v>2.4441489361702131</v>
      </c>
      <c r="G40" s="7" t="s">
        <v>778</v>
      </c>
      <c r="H40" s="1">
        <v>2.4441489361702131</v>
      </c>
      <c r="I40" s="7" t="str">
        <f t="shared" si="0"/>
        <v>2,444</v>
      </c>
    </row>
    <row r="41" spans="1:9" x14ac:dyDescent="0.25">
      <c r="A41" s="7" t="s">
        <v>1170</v>
      </c>
      <c r="B41" s="3" t="s">
        <v>1428</v>
      </c>
      <c r="C41" s="4" t="s">
        <v>47</v>
      </c>
      <c r="D41" s="4" t="s">
        <v>5</v>
      </c>
      <c r="E41" s="5" t="s">
        <v>6</v>
      </c>
      <c r="F41" s="6">
        <v>3.2817720579136243</v>
      </c>
      <c r="G41" s="7" t="s">
        <v>779</v>
      </c>
      <c r="H41" s="1">
        <v>3.2817720579136243</v>
      </c>
      <c r="I41" s="7" t="str">
        <f t="shared" si="0"/>
        <v>3,282</v>
      </c>
    </row>
    <row r="42" spans="1:9" x14ac:dyDescent="0.25">
      <c r="A42" s="7" t="s">
        <v>1171</v>
      </c>
      <c r="B42" s="3" t="s">
        <v>1427</v>
      </c>
      <c r="C42" s="4" t="s">
        <v>48</v>
      </c>
      <c r="D42" s="4" t="s">
        <v>5</v>
      </c>
      <c r="E42" s="5" t="s">
        <v>6</v>
      </c>
      <c r="F42" s="6">
        <v>2.7768840490038365</v>
      </c>
      <c r="G42" s="7" t="s">
        <v>780</v>
      </c>
      <c r="H42" s="1">
        <v>2.7768840490038365</v>
      </c>
      <c r="I42" s="7" t="str">
        <f t="shared" si="0"/>
        <v>2,777</v>
      </c>
    </row>
    <row r="43" spans="1:9" x14ac:dyDescent="0.25">
      <c r="A43" s="7" t="s">
        <v>1172</v>
      </c>
      <c r="B43" s="3" t="s">
        <v>1430</v>
      </c>
      <c r="C43" s="4" t="s">
        <v>49</v>
      </c>
      <c r="D43" s="4" t="s">
        <v>5</v>
      </c>
      <c r="E43" s="5" t="s">
        <v>6</v>
      </c>
      <c r="F43" s="6">
        <v>3.6827125355772803</v>
      </c>
      <c r="G43" s="7" t="s">
        <v>781</v>
      </c>
      <c r="H43" s="1">
        <v>3.6827125355772803</v>
      </c>
      <c r="I43" s="7" t="str">
        <f t="shared" si="0"/>
        <v>3,683</v>
      </c>
    </row>
    <row r="44" spans="1:9" x14ac:dyDescent="0.25">
      <c r="A44" s="7" t="s">
        <v>1173</v>
      </c>
      <c r="B44" s="3" t="s">
        <v>1429</v>
      </c>
      <c r="C44" s="4" t="s">
        <v>50</v>
      </c>
      <c r="D44" s="4" t="s">
        <v>5</v>
      </c>
      <c r="E44" s="5" t="s">
        <v>6</v>
      </c>
      <c r="F44" s="6">
        <v>2.8065833436455883</v>
      </c>
      <c r="G44" s="7" t="s">
        <v>782</v>
      </c>
      <c r="H44" s="1">
        <v>2.8065833436455883</v>
      </c>
      <c r="I44" s="7" t="str">
        <f t="shared" si="0"/>
        <v>2,807</v>
      </c>
    </row>
    <row r="45" spans="1:9" x14ac:dyDescent="0.25">
      <c r="A45" s="7" t="s">
        <v>1174</v>
      </c>
      <c r="B45" s="3" t="s">
        <v>1146</v>
      </c>
      <c r="C45" s="4" t="s">
        <v>51</v>
      </c>
      <c r="D45" s="4" t="s">
        <v>5</v>
      </c>
      <c r="E45" s="5" t="s">
        <v>6</v>
      </c>
      <c r="F45" s="6">
        <v>33.723246254428055</v>
      </c>
      <c r="G45" s="7" t="s">
        <v>783</v>
      </c>
      <c r="H45" s="1">
        <v>33.723246254428055</v>
      </c>
      <c r="I45" s="7" t="str">
        <f t="shared" si="0"/>
        <v>33,723</v>
      </c>
    </row>
    <row r="46" spans="1:9" x14ac:dyDescent="0.25">
      <c r="A46" s="7" t="s">
        <v>1175</v>
      </c>
      <c r="B46" s="3" t="s">
        <v>1147</v>
      </c>
      <c r="C46" s="4" t="s">
        <v>52</v>
      </c>
      <c r="D46" s="4" t="s">
        <v>5</v>
      </c>
      <c r="E46" s="5" t="s">
        <v>6</v>
      </c>
      <c r="F46" s="6">
        <v>13.212121135296471</v>
      </c>
      <c r="G46" s="7" t="s">
        <v>784</v>
      </c>
      <c r="H46" s="1">
        <v>13.212121135296471</v>
      </c>
      <c r="I46" s="7" t="str">
        <f t="shared" si="0"/>
        <v>13,212</v>
      </c>
    </row>
    <row r="47" spans="1:9" x14ac:dyDescent="0.25">
      <c r="A47" s="7" t="s">
        <v>1176</v>
      </c>
      <c r="B47" s="3" t="s">
        <v>1148</v>
      </c>
      <c r="C47" s="4" t="s">
        <v>53</v>
      </c>
      <c r="D47" s="4" t="s">
        <v>5</v>
      </c>
      <c r="E47" s="5" t="s">
        <v>6</v>
      </c>
      <c r="F47" s="6">
        <v>14.22843814570389</v>
      </c>
      <c r="G47" s="7" t="s">
        <v>785</v>
      </c>
      <c r="H47" s="1">
        <v>14.22843814570389</v>
      </c>
      <c r="I47" s="7" t="str">
        <f t="shared" si="0"/>
        <v>14,228</v>
      </c>
    </row>
    <row r="48" spans="1:9" x14ac:dyDescent="0.25">
      <c r="A48" s="7" t="s">
        <v>1177</v>
      </c>
      <c r="B48" s="3" t="s">
        <v>1465</v>
      </c>
      <c r="C48" s="4" t="s">
        <v>54</v>
      </c>
      <c r="D48" s="4" t="s">
        <v>28</v>
      </c>
      <c r="E48" s="5" t="s">
        <v>6</v>
      </c>
      <c r="F48" s="6">
        <f>598.66/85</f>
        <v>7.0430588235294111</v>
      </c>
      <c r="G48" s="7" t="s">
        <v>786</v>
      </c>
      <c r="H48" s="1">
        <v>7.0430588235294111</v>
      </c>
      <c r="I48" s="7" t="str">
        <f t="shared" si="0"/>
        <v>7,043</v>
      </c>
    </row>
    <row r="49" spans="1:9" x14ac:dyDescent="0.25">
      <c r="A49" s="7" t="s">
        <v>1178</v>
      </c>
      <c r="B49" s="3" t="s">
        <v>1327</v>
      </c>
      <c r="C49" s="4" t="s">
        <v>55</v>
      </c>
      <c r="D49" s="4" t="s">
        <v>28</v>
      </c>
      <c r="E49" s="5" t="s">
        <v>56</v>
      </c>
      <c r="F49" s="6">
        <v>1.2566666666666666</v>
      </c>
      <c r="G49" s="7" t="s">
        <v>787</v>
      </c>
      <c r="H49" s="1">
        <v>1.2566666666666666</v>
      </c>
      <c r="I49" s="7" t="str">
        <f t="shared" si="0"/>
        <v>1,257</v>
      </c>
    </row>
    <row r="50" spans="1:9" x14ac:dyDescent="0.25">
      <c r="A50" s="7" t="s">
        <v>1179</v>
      </c>
      <c r="B50" s="3" t="s">
        <v>1499</v>
      </c>
      <c r="C50" s="4" t="s">
        <v>57</v>
      </c>
      <c r="D50" s="4" t="s">
        <v>28</v>
      </c>
      <c r="E50" s="5" t="s">
        <v>6</v>
      </c>
      <c r="F50" s="72">
        <v>1.51</v>
      </c>
      <c r="G50" s="7" t="s">
        <v>788</v>
      </c>
      <c r="H50" s="1">
        <v>1.51</v>
      </c>
      <c r="I50" s="7" t="str">
        <f t="shared" si="0"/>
        <v>1,510</v>
      </c>
    </row>
    <row r="51" spans="1:9" x14ac:dyDescent="0.25">
      <c r="A51" s="7" t="s">
        <v>1180</v>
      </c>
      <c r="B51" s="3" t="s">
        <v>1151</v>
      </c>
      <c r="C51" s="4" t="s">
        <v>58</v>
      </c>
      <c r="D51" s="4" t="s">
        <v>28</v>
      </c>
      <c r="E51" s="5" t="s">
        <v>6</v>
      </c>
      <c r="F51" s="6">
        <v>0.50401162597261551</v>
      </c>
      <c r="G51" s="7" t="s">
        <v>789</v>
      </c>
      <c r="H51" s="1">
        <v>0.50401162597261551</v>
      </c>
      <c r="I51" s="7" t="str">
        <f t="shared" si="0"/>
        <v>0,504</v>
      </c>
    </row>
    <row r="52" spans="1:9" x14ac:dyDescent="0.25">
      <c r="A52" s="7" t="s">
        <v>1181</v>
      </c>
      <c r="B52" s="3" t="s">
        <v>1342</v>
      </c>
      <c r="C52" s="4" t="s">
        <v>59</v>
      </c>
      <c r="D52" s="4" t="s">
        <v>28</v>
      </c>
      <c r="E52" s="5" t="s">
        <v>60</v>
      </c>
      <c r="F52" s="6">
        <v>0.73499999999999999</v>
      </c>
      <c r="G52" s="7" t="s">
        <v>790</v>
      </c>
      <c r="H52" s="1">
        <v>0.73499999999999999</v>
      </c>
      <c r="I52" s="7" t="str">
        <f t="shared" si="0"/>
        <v>0,735</v>
      </c>
    </row>
    <row r="53" spans="1:9" x14ac:dyDescent="0.25">
      <c r="A53" s="7" t="s">
        <v>1182</v>
      </c>
      <c r="B53" s="3" t="s">
        <v>1152</v>
      </c>
      <c r="C53" s="4" t="s">
        <v>61</v>
      </c>
      <c r="D53" s="4" t="s">
        <v>28</v>
      </c>
      <c r="E53" s="5" t="s">
        <v>6</v>
      </c>
      <c r="F53" s="6">
        <v>0.50401162597261551</v>
      </c>
      <c r="G53" s="7" t="s">
        <v>791</v>
      </c>
      <c r="H53" s="1">
        <v>0.50401162597261551</v>
      </c>
      <c r="I53" s="7" t="str">
        <f t="shared" si="0"/>
        <v>0,504</v>
      </c>
    </row>
    <row r="54" spans="1:9" x14ac:dyDescent="0.25">
      <c r="A54" s="7" t="s">
        <v>1183</v>
      </c>
      <c r="B54" s="3" t="s">
        <v>1315</v>
      </c>
      <c r="C54" s="4" t="s">
        <v>62</v>
      </c>
      <c r="D54" s="4" t="s">
        <v>28</v>
      </c>
      <c r="E54" s="5" t="s">
        <v>60</v>
      </c>
      <c r="F54" s="6">
        <v>0.73499999999999999</v>
      </c>
      <c r="G54" s="7" t="s">
        <v>792</v>
      </c>
      <c r="H54" s="1">
        <v>0.73499999999999999</v>
      </c>
      <c r="I54" s="7" t="str">
        <f t="shared" si="0"/>
        <v>0,735</v>
      </c>
    </row>
    <row r="55" spans="1:9" x14ac:dyDescent="0.25">
      <c r="A55" s="7" t="s">
        <v>1184</v>
      </c>
      <c r="B55" s="3" t="s">
        <v>1314</v>
      </c>
      <c r="C55" s="4" t="s">
        <v>63</v>
      </c>
      <c r="D55" s="4" t="s">
        <v>28</v>
      </c>
      <c r="E55" s="5" t="s">
        <v>60</v>
      </c>
      <c r="F55" s="6">
        <v>0.73499999999999999</v>
      </c>
      <c r="G55" s="7" t="s">
        <v>793</v>
      </c>
      <c r="H55" s="1">
        <v>0.73499999999999999</v>
      </c>
      <c r="I55" s="7" t="str">
        <f t="shared" si="0"/>
        <v>0,735</v>
      </c>
    </row>
    <row r="56" spans="1:9" x14ac:dyDescent="0.25">
      <c r="A56" s="7" t="s">
        <v>1185</v>
      </c>
      <c r="B56" s="3" t="s">
        <v>1341</v>
      </c>
      <c r="C56" s="4" t="s">
        <v>64</v>
      </c>
      <c r="D56" s="4" t="s">
        <v>28</v>
      </c>
      <c r="E56" s="5" t="s">
        <v>60</v>
      </c>
      <c r="F56" s="6">
        <v>0.73499999999999999</v>
      </c>
      <c r="G56" s="7" t="s">
        <v>794</v>
      </c>
      <c r="H56" s="1">
        <v>0.73499999999999999</v>
      </c>
      <c r="I56" s="7" t="str">
        <f t="shared" si="0"/>
        <v>0,735</v>
      </c>
    </row>
    <row r="57" spans="1:9" x14ac:dyDescent="0.25">
      <c r="A57" s="7" t="s">
        <v>1186</v>
      </c>
      <c r="B57" s="3" t="s">
        <v>1461</v>
      </c>
      <c r="C57" s="4" t="s">
        <v>65</v>
      </c>
      <c r="D57" s="4" t="s">
        <v>28</v>
      </c>
      <c r="E57" s="5" t="s">
        <v>6</v>
      </c>
      <c r="F57" s="6" t="e">
        <f>183.338/#REF!</f>
        <v>#REF!</v>
      </c>
      <c r="G57" s="7" t="s">
        <v>795</v>
      </c>
      <c r="H57" s="1">
        <v>1.9928043478260868</v>
      </c>
      <c r="I57" s="7" t="str">
        <f t="shared" si="0"/>
        <v>1,993</v>
      </c>
    </row>
    <row r="58" spans="1:9" x14ac:dyDescent="0.25">
      <c r="A58" s="7" t="s">
        <v>1187</v>
      </c>
      <c r="B58" s="3" t="s">
        <v>1153</v>
      </c>
      <c r="C58" s="4" t="s">
        <v>66</v>
      </c>
      <c r="D58" s="4" t="s">
        <v>28</v>
      </c>
      <c r="E58" s="5" t="s">
        <v>6</v>
      </c>
      <c r="F58" s="6">
        <v>0.10956774477665555</v>
      </c>
      <c r="G58" s="7" t="s">
        <v>796</v>
      </c>
      <c r="H58" s="1">
        <v>0.10956774477665555</v>
      </c>
      <c r="I58" s="7" t="str">
        <f t="shared" si="0"/>
        <v>0,110</v>
      </c>
    </row>
    <row r="59" spans="1:9" x14ac:dyDescent="0.25">
      <c r="A59" s="7" t="s">
        <v>1188</v>
      </c>
      <c r="B59" s="3" t="s">
        <v>1401</v>
      </c>
      <c r="C59" s="4" t="s">
        <v>67</v>
      </c>
      <c r="D59" s="4" t="s">
        <v>28</v>
      </c>
      <c r="E59" s="5" t="s">
        <v>6</v>
      </c>
      <c r="F59" s="6">
        <v>2.77</v>
      </c>
      <c r="G59" s="7" t="s">
        <v>797</v>
      </c>
      <c r="H59" s="1">
        <v>2.77</v>
      </c>
      <c r="I59" s="7" t="str">
        <f t="shared" si="0"/>
        <v>2,770</v>
      </c>
    </row>
    <row r="60" spans="1:9" x14ac:dyDescent="0.25">
      <c r="A60" s="7" t="s">
        <v>1189</v>
      </c>
      <c r="B60" s="3" t="s">
        <v>1388</v>
      </c>
      <c r="C60" s="4" t="s">
        <v>68</v>
      </c>
      <c r="D60" s="4" t="s">
        <v>28</v>
      </c>
      <c r="E60" s="5" t="s">
        <v>6</v>
      </c>
      <c r="F60" s="6" t="e">
        <f>5.39/#REF!</f>
        <v>#REF!</v>
      </c>
      <c r="G60" s="7" t="s">
        <v>798</v>
      </c>
      <c r="H60" s="1">
        <v>5.8586956521739127E-2</v>
      </c>
      <c r="I60" s="7" t="str">
        <f t="shared" si="0"/>
        <v>0,059</v>
      </c>
    </row>
    <row r="61" spans="1:9" x14ac:dyDescent="0.25">
      <c r="A61" s="7" t="s">
        <v>1190</v>
      </c>
      <c r="B61" s="3" t="s">
        <v>1441</v>
      </c>
      <c r="C61" s="4" t="s">
        <v>69</v>
      </c>
      <c r="D61" s="4" t="s">
        <v>28</v>
      </c>
      <c r="E61" s="5" t="s">
        <v>6</v>
      </c>
      <c r="F61" s="6">
        <v>1.4566666666666668</v>
      </c>
      <c r="G61" s="7" t="s">
        <v>799</v>
      </c>
      <c r="H61" s="1">
        <v>1.4566666666666668</v>
      </c>
      <c r="I61" s="7" t="str">
        <f t="shared" si="0"/>
        <v>1,457</v>
      </c>
    </row>
    <row r="62" spans="1:9" x14ac:dyDescent="0.25">
      <c r="A62" s="7" t="s">
        <v>1191</v>
      </c>
      <c r="B62" s="3" t="s">
        <v>1293</v>
      </c>
      <c r="C62" s="4" t="s">
        <v>70</v>
      </c>
      <c r="D62" s="4" t="s">
        <v>28</v>
      </c>
      <c r="E62" s="5" t="s">
        <v>6</v>
      </c>
      <c r="F62" s="6">
        <v>1.6562820512820513</v>
      </c>
      <c r="G62" s="7" t="s">
        <v>800</v>
      </c>
      <c r="H62" s="1">
        <v>1.6562820512820513</v>
      </c>
      <c r="I62" s="7" t="str">
        <f t="shared" si="0"/>
        <v>1,656</v>
      </c>
    </row>
    <row r="63" spans="1:9" x14ac:dyDescent="0.25">
      <c r="A63" s="7" t="s">
        <v>1192</v>
      </c>
      <c r="B63" s="3" t="s">
        <v>1159</v>
      </c>
      <c r="C63" s="4" t="s">
        <v>71</v>
      </c>
      <c r="D63" s="4" t="s">
        <v>28</v>
      </c>
      <c r="E63" s="5" t="s">
        <v>6</v>
      </c>
      <c r="F63" s="6" t="e">
        <f>79.06/#REF!</f>
        <v>#REF!</v>
      </c>
      <c r="G63" s="7" t="s">
        <v>801</v>
      </c>
      <c r="H63" s="1">
        <v>0.79059999999999997</v>
      </c>
      <c r="I63" s="7" t="str">
        <f t="shared" si="0"/>
        <v>0,791</v>
      </c>
    </row>
    <row r="64" spans="1:9" x14ac:dyDescent="0.25">
      <c r="A64" s="7" t="s">
        <v>1193</v>
      </c>
      <c r="B64" s="3" t="s">
        <v>1149</v>
      </c>
      <c r="C64" s="4" t="s">
        <v>72</v>
      </c>
      <c r="D64" s="4" t="s">
        <v>28</v>
      </c>
      <c r="E64" s="5" t="s">
        <v>6</v>
      </c>
      <c r="F64" s="6">
        <v>0.56975227283860896</v>
      </c>
      <c r="G64" s="7" t="s">
        <v>802</v>
      </c>
      <c r="H64" s="1">
        <v>0.56975227283860896</v>
      </c>
      <c r="I64" s="7" t="str">
        <f t="shared" si="0"/>
        <v>0,570</v>
      </c>
    </row>
    <row r="65" spans="1:9" x14ac:dyDescent="0.25">
      <c r="A65" s="7" t="s">
        <v>1194</v>
      </c>
      <c r="B65" s="3" t="s">
        <v>1417</v>
      </c>
      <c r="C65" s="4" t="s">
        <v>73</v>
      </c>
      <c r="D65" s="4" t="s">
        <v>28</v>
      </c>
      <c r="E65" s="5" t="s">
        <v>6</v>
      </c>
      <c r="F65" s="6" t="e">
        <f>79.06/#REF!</f>
        <v>#REF!</v>
      </c>
      <c r="G65" s="7" t="s">
        <v>803</v>
      </c>
      <c r="H65" s="1">
        <v>0.85934782608695659</v>
      </c>
      <c r="I65" s="7" t="str">
        <f t="shared" si="0"/>
        <v>0,859</v>
      </c>
    </row>
    <row r="66" spans="1:9" x14ac:dyDescent="0.25">
      <c r="A66" s="7" t="s">
        <v>1195</v>
      </c>
      <c r="B66" s="3" t="s">
        <v>1351</v>
      </c>
      <c r="C66" s="4" t="s">
        <v>74</v>
      </c>
      <c r="D66" s="4" t="s">
        <v>28</v>
      </c>
      <c r="E66" s="5" t="s">
        <v>60</v>
      </c>
      <c r="F66" s="6">
        <v>0</v>
      </c>
      <c r="G66" s="7" t="s">
        <v>804</v>
      </c>
      <c r="H66" s="1">
        <v>0</v>
      </c>
      <c r="I66" s="7" t="str">
        <f t="shared" ref="I66:I129" si="1">FIXED(H66,3)</f>
        <v>0,000</v>
      </c>
    </row>
    <row r="67" spans="1:9" x14ac:dyDescent="0.25">
      <c r="A67" s="7" t="s">
        <v>1196</v>
      </c>
      <c r="B67" s="3" t="s">
        <v>1352</v>
      </c>
      <c r="C67" s="4" t="s">
        <v>75</v>
      </c>
      <c r="D67" s="4" t="s">
        <v>28</v>
      </c>
      <c r="E67" s="5" t="s">
        <v>60</v>
      </c>
      <c r="F67" s="6">
        <v>0</v>
      </c>
      <c r="G67" s="7" t="s">
        <v>805</v>
      </c>
      <c r="H67" s="1">
        <v>0</v>
      </c>
      <c r="I67" s="7" t="str">
        <f t="shared" si="1"/>
        <v>0,000</v>
      </c>
    </row>
    <row r="68" spans="1:9" x14ac:dyDescent="0.25">
      <c r="A68" s="7" t="s">
        <v>1197</v>
      </c>
      <c r="B68" s="3" t="s">
        <v>1343</v>
      </c>
      <c r="C68" s="4" t="s">
        <v>76</v>
      </c>
      <c r="D68" s="4" t="s">
        <v>28</v>
      </c>
      <c r="E68" s="5" t="s">
        <v>60</v>
      </c>
      <c r="F68" s="6">
        <v>2.7272727272727275</v>
      </c>
      <c r="G68" s="7" t="s">
        <v>806</v>
      </c>
      <c r="H68" s="1">
        <v>2.7272727272727275</v>
      </c>
      <c r="I68" s="7" t="str">
        <f t="shared" si="1"/>
        <v>2,727</v>
      </c>
    </row>
    <row r="69" spans="1:9" x14ac:dyDescent="0.25">
      <c r="A69" s="7" t="s">
        <v>1198</v>
      </c>
      <c r="B69" s="3" t="s">
        <v>1331</v>
      </c>
      <c r="C69" s="4" t="s">
        <v>77</v>
      </c>
      <c r="D69" s="4" t="s">
        <v>28</v>
      </c>
      <c r="E69" s="5" t="s">
        <v>60</v>
      </c>
      <c r="F69" s="6">
        <v>2.7272727272727275</v>
      </c>
      <c r="G69" s="7" t="s">
        <v>807</v>
      </c>
      <c r="H69" s="1">
        <v>2.7272727272727275</v>
      </c>
      <c r="I69" s="7" t="str">
        <f t="shared" si="1"/>
        <v>2,727</v>
      </c>
    </row>
    <row r="70" spans="1:9" x14ac:dyDescent="0.25">
      <c r="A70" s="7" t="s">
        <v>1199</v>
      </c>
      <c r="B70" s="3" t="s">
        <v>1160</v>
      </c>
      <c r="C70" s="4" t="s">
        <v>78</v>
      </c>
      <c r="D70" s="4" t="s">
        <v>28</v>
      </c>
      <c r="E70" s="5" t="s">
        <v>6</v>
      </c>
      <c r="F70" s="6">
        <v>1.0513713054830289</v>
      </c>
      <c r="G70" s="7" t="s">
        <v>808</v>
      </c>
      <c r="H70" s="1">
        <v>1.0513713054830289</v>
      </c>
      <c r="I70" s="7" t="str">
        <f t="shared" si="1"/>
        <v>1,051</v>
      </c>
    </row>
    <row r="71" spans="1:9" x14ac:dyDescent="0.25">
      <c r="A71" s="7" t="s">
        <v>1200</v>
      </c>
      <c r="B71" s="3" t="s">
        <v>1411</v>
      </c>
      <c r="C71" s="4" t="s">
        <v>79</v>
      </c>
      <c r="D71" s="4" t="s">
        <v>28</v>
      </c>
      <c r="E71" s="5" t="s">
        <v>6</v>
      </c>
      <c r="F71" s="72">
        <v>0.82</v>
      </c>
      <c r="G71" s="7" t="s">
        <v>809</v>
      </c>
      <c r="H71" s="1">
        <v>0.82</v>
      </c>
      <c r="I71" s="7" t="str">
        <f t="shared" si="1"/>
        <v>0,820</v>
      </c>
    </row>
    <row r="72" spans="1:9" x14ac:dyDescent="0.25">
      <c r="A72" s="7" t="s">
        <v>1201</v>
      </c>
      <c r="B72" s="3" t="s">
        <v>1150</v>
      </c>
      <c r="C72" s="4" t="s">
        <v>80</v>
      </c>
      <c r="D72" s="4" t="s">
        <v>28</v>
      </c>
      <c r="E72" s="5" t="s">
        <v>6</v>
      </c>
      <c r="F72" s="6">
        <v>0.56975227283860896</v>
      </c>
      <c r="G72" s="7" t="s">
        <v>810</v>
      </c>
      <c r="H72" s="1">
        <v>0.56975227283860896</v>
      </c>
      <c r="I72" s="7" t="str">
        <f t="shared" si="1"/>
        <v>0,570</v>
      </c>
    </row>
    <row r="73" spans="1:9" x14ac:dyDescent="0.25">
      <c r="A73" s="7" t="s">
        <v>1202</v>
      </c>
      <c r="B73" s="3" t="s">
        <v>1328</v>
      </c>
      <c r="C73" s="4" t="s">
        <v>81</v>
      </c>
      <c r="D73" s="4" t="s">
        <v>28</v>
      </c>
      <c r="E73" s="5" t="s">
        <v>60</v>
      </c>
      <c r="F73" s="6">
        <v>1.8366666666666664</v>
      </c>
      <c r="G73" s="7" t="s">
        <v>811</v>
      </c>
      <c r="H73" s="1">
        <v>1.8366666666666664</v>
      </c>
      <c r="I73" s="7" t="str">
        <f t="shared" si="1"/>
        <v>1,837</v>
      </c>
    </row>
    <row r="74" spans="1:9" x14ac:dyDescent="0.25">
      <c r="A74" s="7" t="s">
        <v>1203</v>
      </c>
      <c r="B74" s="3" t="s">
        <v>1339</v>
      </c>
      <c r="C74" s="4" t="s">
        <v>82</v>
      </c>
      <c r="D74" s="4" t="s">
        <v>28</v>
      </c>
      <c r="E74" s="5" t="s">
        <v>60</v>
      </c>
      <c r="F74" s="6">
        <v>0.73461538461538456</v>
      </c>
      <c r="G74" s="7" t="s">
        <v>812</v>
      </c>
      <c r="H74" s="1">
        <v>0.73461538461538456</v>
      </c>
      <c r="I74" s="7" t="str">
        <f t="shared" si="1"/>
        <v>0,735</v>
      </c>
    </row>
    <row r="75" spans="1:9" x14ac:dyDescent="0.25">
      <c r="A75" s="7" t="s">
        <v>1204</v>
      </c>
      <c r="B75" s="3" t="s">
        <v>1481</v>
      </c>
      <c r="C75" s="4" t="s">
        <v>83</v>
      </c>
      <c r="D75" s="4" t="s">
        <v>28</v>
      </c>
      <c r="E75" s="5" t="s">
        <v>6</v>
      </c>
      <c r="F75" s="6">
        <v>14.091384360313317</v>
      </c>
      <c r="G75" s="7" t="s">
        <v>813</v>
      </c>
      <c r="H75" s="1">
        <v>14.091384360313317</v>
      </c>
      <c r="I75" s="7" t="str">
        <f t="shared" si="1"/>
        <v>14,091</v>
      </c>
    </row>
    <row r="76" spans="1:9" x14ac:dyDescent="0.25">
      <c r="A76" s="7" t="s">
        <v>1205</v>
      </c>
      <c r="B76" s="3" t="s">
        <v>1442</v>
      </c>
      <c r="C76" s="4" t="s">
        <v>84</v>
      </c>
      <c r="D76" s="4" t="s">
        <v>28</v>
      </c>
      <c r="E76" s="5" t="s">
        <v>6</v>
      </c>
      <c r="F76" s="6">
        <v>7.7888461538461531</v>
      </c>
      <c r="G76" s="7" t="s">
        <v>814</v>
      </c>
      <c r="H76" s="1">
        <v>7.7888461538461531</v>
      </c>
      <c r="I76" s="7" t="str">
        <f t="shared" si="1"/>
        <v>7,789</v>
      </c>
    </row>
    <row r="77" spans="1:9" x14ac:dyDescent="0.25">
      <c r="A77" s="7" t="s">
        <v>1206</v>
      </c>
      <c r="B77" s="3" t="s">
        <v>1349</v>
      </c>
      <c r="C77" s="4" t="s">
        <v>85</v>
      </c>
      <c r="D77" s="4" t="s">
        <v>28</v>
      </c>
      <c r="E77" s="5" t="s">
        <v>6</v>
      </c>
      <c r="F77" s="6">
        <f>354.9/62.3</f>
        <v>5.6966292134831455</v>
      </c>
      <c r="G77" s="7" t="s">
        <v>815</v>
      </c>
      <c r="H77" s="1">
        <v>5.6966292134831455</v>
      </c>
      <c r="I77" s="7" t="str">
        <f t="shared" si="1"/>
        <v>5,697</v>
      </c>
    </row>
    <row r="78" spans="1:9" x14ac:dyDescent="0.25">
      <c r="A78" s="7" t="s">
        <v>1207</v>
      </c>
      <c r="B78" s="3" t="s">
        <v>1480</v>
      </c>
      <c r="C78" s="4" t="s">
        <v>86</v>
      </c>
      <c r="D78" s="4" t="s">
        <v>28</v>
      </c>
      <c r="E78" s="5" t="s">
        <v>6</v>
      </c>
      <c r="F78" s="6">
        <f>388.5/62.3</f>
        <v>6.2359550561797752</v>
      </c>
      <c r="G78" s="7" t="s">
        <v>816</v>
      </c>
      <c r="H78" s="1">
        <v>6.2359550561797752</v>
      </c>
      <c r="I78" s="7" t="str">
        <f t="shared" si="1"/>
        <v>6,236</v>
      </c>
    </row>
    <row r="79" spans="1:9" x14ac:dyDescent="0.25">
      <c r="A79" s="7" t="s">
        <v>1208</v>
      </c>
      <c r="B79" s="3" t="s">
        <v>1348</v>
      </c>
      <c r="C79" s="4" t="s">
        <v>87</v>
      </c>
      <c r="D79" s="4" t="s">
        <v>28</v>
      </c>
      <c r="E79" s="5" t="s">
        <v>60</v>
      </c>
      <c r="F79" s="6">
        <v>0</v>
      </c>
      <c r="G79" s="7" t="s">
        <v>817</v>
      </c>
      <c r="H79" s="1">
        <v>0</v>
      </c>
      <c r="I79" s="7" t="str">
        <f t="shared" si="1"/>
        <v>0,000</v>
      </c>
    </row>
    <row r="80" spans="1:9" x14ac:dyDescent="0.25">
      <c r="A80" s="7" t="s">
        <v>1209</v>
      </c>
      <c r="B80" s="3" t="s">
        <v>1445</v>
      </c>
      <c r="C80" s="4" t="s">
        <v>88</v>
      </c>
      <c r="D80" s="4" t="s">
        <v>28</v>
      </c>
      <c r="E80" s="5" t="s">
        <v>6</v>
      </c>
      <c r="F80" s="6">
        <v>11.085949367088608</v>
      </c>
      <c r="G80" s="7" t="s">
        <v>818</v>
      </c>
      <c r="H80" s="1">
        <v>11.085949367088608</v>
      </c>
      <c r="I80" s="7" t="str">
        <f t="shared" si="1"/>
        <v>11,086</v>
      </c>
    </row>
    <row r="81" spans="1:9" x14ac:dyDescent="0.25">
      <c r="A81" s="7" t="s">
        <v>1210</v>
      </c>
      <c r="B81" s="3" t="s">
        <v>1350</v>
      </c>
      <c r="C81" s="4" t="s">
        <v>89</v>
      </c>
      <c r="D81" s="4" t="s">
        <v>28</v>
      </c>
      <c r="E81" s="5" t="s">
        <v>6</v>
      </c>
      <c r="F81" s="6">
        <f>466.2/62.3</f>
        <v>7.4831460674157304</v>
      </c>
      <c r="G81" s="7" t="s">
        <v>819</v>
      </c>
      <c r="H81" s="1">
        <v>7.4831460674157304</v>
      </c>
      <c r="I81" s="7" t="str">
        <f t="shared" si="1"/>
        <v>7,483</v>
      </c>
    </row>
    <row r="82" spans="1:9" x14ac:dyDescent="0.25">
      <c r="A82" s="7" t="s">
        <v>1211</v>
      </c>
      <c r="B82" s="3" t="s">
        <v>1346</v>
      </c>
      <c r="C82" s="4" t="s">
        <v>90</v>
      </c>
      <c r="D82" s="4" t="s">
        <v>28</v>
      </c>
      <c r="E82" s="5" t="s">
        <v>91</v>
      </c>
      <c r="F82" s="6">
        <f>805.44/85</f>
        <v>9.4757647058823533</v>
      </c>
      <c r="G82" s="7" t="s">
        <v>820</v>
      </c>
      <c r="H82" s="1">
        <v>9.4757647058823533</v>
      </c>
      <c r="I82" s="7" t="str">
        <f t="shared" si="1"/>
        <v>9,476</v>
      </c>
    </row>
    <row r="83" spans="1:9" x14ac:dyDescent="0.25">
      <c r="A83" s="7" t="s">
        <v>1212</v>
      </c>
      <c r="B83" s="3" t="s">
        <v>1447</v>
      </c>
      <c r="C83" s="4" t="s">
        <v>92</v>
      </c>
      <c r="D83" s="4" t="s">
        <v>28</v>
      </c>
      <c r="E83" s="5" t="s">
        <v>91</v>
      </c>
      <c r="F83" s="6" t="e">
        <f>481.55/#REF!</f>
        <v>#REF!</v>
      </c>
      <c r="G83" s="7" t="s">
        <v>821</v>
      </c>
      <c r="H83" s="1">
        <v>5.2342391304347826</v>
      </c>
      <c r="I83" s="7" t="str">
        <f t="shared" si="1"/>
        <v>5,234</v>
      </c>
    </row>
    <row r="84" spans="1:9" x14ac:dyDescent="0.25">
      <c r="A84" s="7" t="s">
        <v>1213</v>
      </c>
      <c r="B84" s="3" t="s">
        <v>1482</v>
      </c>
      <c r="C84" s="4" t="s">
        <v>93</v>
      </c>
      <c r="D84" s="4" t="s">
        <v>28</v>
      </c>
      <c r="E84" s="5" t="s">
        <v>6</v>
      </c>
      <c r="F84" s="6">
        <v>1.5078334464751961</v>
      </c>
      <c r="G84" s="7" t="s">
        <v>822</v>
      </c>
      <c r="H84" s="1">
        <v>1.5078334464751961</v>
      </c>
      <c r="I84" s="7" t="str">
        <f t="shared" si="1"/>
        <v>1,508</v>
      </c>
    </row>
    <row r="85" spans="1:9" x14ac:dyDescent="0.25">
      <c r="A85" s="7" t="s">
        <v>1214</v>
      </c>
      <c r="B85" s="3" t="s">
        <v>1158</v>
      </c>
      <c r="C85" s="4" t="s">
        <v>94</v>
      </c>
      <c r="D85" s="4" t="s">
        <v>28</v>
      </c>
      <c r="E85" s="5" t="s">
        <v>6</v>
      </c>
      <c r="F85" s="6">
        <f>0.22*1.15</f>
        <v>0.253</v>
      </c>
      <c r="G85" s="7" t="s">
        <v>823</v>
      </c>
      <c r="H85" s="1">
        <v>0.253</v>
      </c>
      <c r="I85" s="7" t="str">
        <f t="shared" si="1"/>
        <v>0,253</v>
      </c>
    </row>
    <row r="86" spans="1:9" x14ac:dyDescent="0.25">
      <c r="A86" s="7" t="s">
        <v>1215</v>
      </c>
      <c r="B86" s="3" t="s">
        <v>1385</v>
      </c>
      <c r="C86" s="4" t="s">
        <v>95</v>
      </c>
      <c r="D86" s="4" t="s">
        <v>28</v>
      </c>
      <c r="E86" s="5" t="s">
        <v>6</v>
      </c>
      <c r="F86" s="6">
        <f>0.16*1.15</f>
        <v>0.184</v>
      </c>
      <c r="G86" s="7" t="s">
        <v>824</v>
      </c>
      <c r="H86" s="1">
        <v>0.184</v>
      </c>
      <c r="I86" s="7" t="str">
        <f t="shared" si="1"/>
        <v>0,184</v>
      </c>
    </row>
    <row r="87" spans="1:9" x14ac:dyDescent="0.25">
      <c r="A87" s="7" t="s">
        <v>1216</v>
      </c>
      <c r="B87" s="3" t="s">
        <v>1296</v>
      </c>
      <c r="C87" s="4" t="s">
        <v>96</v>
      </c>
      <c r="D87" s="4" t="s">
        <v>28</v>
      </c>
      <c r="E87" s="5" t="s">
        <v>60</v>
      </c>
      <c r="F87" s="6">
        <f>4.8*1.15</f>
        <v>5.52</v>
      </c>
      <c r="G87" s="7" t="s">
        <v>825</v>
      </c>
      <c r="H87" s="1">
        <v>5.52</v>
      </c>
      <c r="I87" s="7" t="str">
        <f t="shared" si="1"/>
        <v>5,520</v>
      </c>
    </row>
    <row r="88" spans="1:9" x14ac:dyDescent="0.25">
      <c r="A88" s="7" t="s">
        <v>1217</v>
      </c>
      <c r="B88" s="3" t="s">
        <v>1380</v>
      </c>
      <c r="C88" s="4" t="s">
        <v>97</v>
      </c>
      <c r="D88" s="4" t="s">
        <v>28</v>
      </c>
      <c r="E88" s="5" t="s">
        <v>6</v>
      </c>
      <c r="F88" s="6">
        <v>4.8099999999999996</v>
      </c>
      <c r="G88" s="7" t="s">
        <v>826</v>
      </c>
      <c r="H88" s="1">
        <v>4.8099999999999996</v>
      </c>
      <c r="I88" s="7" t="str">
        <f t="shared" si="1"/>
        <v>4,810</v>
      </c>
    </row>
    <row r="89" spans="1:9" x14ac:dyDescent="0.25">
      <c r="A89" s="7" t="s">
        <v>1218</v>
      </c>
      <c r="B89" s="3" t="s">
        <v>1161</v>
      </c>
      <c r="C89" s="4" t="s">
        <v>98</v>
      </c>
      <c r="D89" s="4" t="s">
        <v>28</v>
      </c>
      <c r="E89" s="5" t="s">
        <v>6</v>
      </c>
      <c r="F89" s="6">
        <v>6.5740646865993332E-2</v>
      </c>
      <c r="G89" s="7" t="s">
        <v>827</v>
      </c>
      <c r="H89" s="1">
        <v>6.5740646865993332E-2</v>
      </c>
      <c r="I89" s="7" t="str">
        <f t="shared" si="1"/>
        <v>0,066</v>
      </c>
    </row>
    <row r="90" spans="1:9" x14ac:dyDescent="0.25">
      <c r="A90" s="7" t="s">
        <v>1219</v>
      </c>
      <c r="B90" s="3" t="s">
        <v>1297</v>
      </c>
      <c r="C90" s="4" t="s">
        <v>99</v>
      </c>
      <c r="D90" s="4" t="s">
        <v>28</v>
      </c>
      <c r="E90" s="5" t="s">
        <v>60</v>
      </c>
      <c r="F90" s="6">
        <v>2.1</v>
      </c>
      <c r="G90" s="7" t="s">
        <v>828</v>
      </c>
      <c r="H90" s="1">
        <v>2.1</v>
      </c>
      <c r="I90" s="7" t="str">
        <f t="shared" si="1"/>
        <v>2,100</v>
      </c>
    </row>
    <row r="91" spans="1:9" x14ac:dyDescent="0.25">
      <c r="A91" s="7" t="s">
        <v>1220</v>
      </c>
      <c r="B91" s="3" t="s">
        <v>1301</v>
      </c>
      <c r="C91" s="4" t="s">
        <v>100</v>
      </c>
      <c r="D91" s="4" t="s">
        <v>28</v>
      </c>
      <c r="E91" s="5" t="s">
        <v>60</v>
      </c>
      <c r="F91" s="6">
        <v>2.1</v>
      </c>
      <c r="G91" s="7" t="s">
        <v>829</v>
      </c>
      <c r="H91" s="1">
        <v>2.1</v>
      </c>
      <c r="I91" s="7" t="str">
        <f t="shared" si="1"/>
        <v>2,100</v>
      </c>
    </row>
    <row r="92" spans="1:9" x14ac:dyDescent="0.25">
      <c r="A92" s="7" t="s">
        <v>1221</v>
      </c>
      <c r="B92" s="3" t="s">
        <v>1162</v>
      </c>
      <c r="C92" s="4" t="s">
        <v>101</v>
      </c>
      <c r="D92" s="4" t="s">
        <v>28</v>
      </c>
      <c r="E92" s="5" t="s">
        <v>6</v>
      </c>
      <c r="F92" s="6">
        <v>0.57498591549295797</v>
      </c>
      <c r="G92" s="7" t="s">
        <v>830</v>
      </c>
      <c r="H92" s="1">
        <v>0.57498591549295797</v>
      </c>
      <c r="I92" s="7" t="str">
        <f t="shared" si="1"/>
        <v>0,575</v>
      </c>
    </row>
    <row r="93" spans="1:9" x14ac:dyDescent="0.25">
      <c r="A93" s="7" t="s">
        <v>1222</v>
      </c>
      <c r="B93" s="3" t="s">
        <v>1402</v>
      </c>
      <c r="C93" s="4" t="s">
        <v>102</v>
      </c>
      <c r="D93" s="4" t="s">
        <v>28</v>
      </c>
      <c r="E93" s="5" t="s">
        <v>6</v>
      </c>
      <c r="F93" s="6">
        <v>0.61</v>
      </c>
      <c r="G93" s="7" t="s">
        <v>831</v>
      </c>
      <c r="H93" s="1">
        <v>0.61</v>
      </c>
      <c r="I93" s="7" t="str">
        <f t="shared" si="1"/>
        <v>0,610</v>
      </c>
    </row>
    <row r="94" spans="1:9" x14ac:dyDescent="0.25">
      <c r="A94" s="7" t="s">
        <v>1223</v>
      </c>
      <c r="B94" s="3" t="s">
        <v>1403</v>
      </c>
      <c r="C94" s="4" t="s">
        <v>103</v>
      </c>
      <c r="D94" s="4" t="s">
        <v>28</v>
      </c>
      <c r="E94" s="5" t="s">
        <v>6</v>
      </c>
      <c r="F94" s="6">
        <v>1.61</v>
      </c>
      <c r="G94" s="7" t="s">
        <v>832</v>
      </c>
      <c r="H94" s="1">
        <v>1.61</v>
      </c>
      <c r="I94" s="7" t="str">
        <f t="shared" si="1"/>
        <v>1,610</v>
      </c>
    </row>
    <row r="95" spans="1:9" x14ac:dyDescent="0.25">
      <c r="A95" s="7" t="s">
        <v>1224</v>
      </c>
      <c r="B95" s="3" t="s">
        <v>1404</v>
      </c>
      <c r="C95" s="4" t="s">
        <v>104</v>
      </c>
      <c r="D95" s="4" t="s">
        <v>28</v>
      </c>
      <c r="E95" s="5" t="s">
        <v>6</v>
      </c>
      <c r="F95" s="6">
        <v>0.54</v>
      </c>
      <c r="G95" s="7" t="s">
        <v>833</v>
      </c>
      <c r="H95" s="1">
        <v>0.54</v>
      </c>
      <c r="I95" s="7" t="str">
        <f t="shared" si="1"/>
        <v>0,540</v>
      </c>
    </row>
    <row r="96" spans="1:9" x14ac:dyDescent="0.25">
      <c r="A96" s="7" t="s">
        <v>1225</v>
      </c>
      <c r="B96" s="66" t="s">
        <v>1492</v>
      </c>
      <c r="C96" s="4" t="s">
        <v>105</v>
      </c>
      <c r="D96" s="4" t="s">
        <v>28</v>
      </c>
      <c r="E96" s="67" t="s">
        <v>106</v>
      </c>
      <c r="F96" s="73" t="e">
        <f>#REF!/#REF!</f>
        <v>#REF!</v>
      </c>
      <c r="G96" s="7" t="s">
        <v>834</v>
      </c>
      <c r="H96" s="1">
        <v>6.3913043478260869</v>
      </c>
      <c r="I96" s="7" t="str">
        <f t="shared" si="1"/>
        <v>6,391</v>
      </c>
    </row>
    <row r="97" spans="1:9" x14ac:dyDescent="0.25">
      <c r="A97" s="7" t="s">
        <v>1226</v>
      </c>
      <c r="B97" s="3" t="s">
        <v>1493</v>
      </c>
      <c r="C97" s="4" t="s">
        <v>107</v>
      </c>
      <c r="D97" s="4" t="s">
        <v>28</v>
      </c>
      <c r="E97" s="5" t="s">
        <v>6</v>
      </c>
      <c r="F97" s="6">
        <f>786.45/62.3</f>
        <v>12.623595505617979</v>
      </c>
      <c r="G97" s="7" t="s">
        <v>835</v>
      </c>
      <c r="H97" s="1">
        <v>12.623595505617979</v>
      </c>
      <c r="I97" s="7" t="str">
        <f t="shared" si="1"/>
        <v>12,624</v>
      </c>
    </row>
    <row r="98" spans="1:9" x14ac:dyDescent="0.25">
      <c r="A98" s="7" t="s">
        <v>1227</v>
      </c>
      <c r="B98" s="3" t="s">
        <v>1175</v>
      </c>
      <c r="C98" s="4" t="s">
        <v>108</v>
      </c>
      <c r="D98" s="4" t="s">
        <v>28</v>
      </c>
      <c r="E98" s="5" t="s">
        <v>6</v>
      </c>
      <c r="F98" s="6">
        <v>1.0956774477665556</v>
      </c>
      <c r="G98" s="7" t="s">
        <v>836</v>
      </c>
      <c r="H98" s="1">
        <v>1.0956774477665556</v>
      </c>
      <c r="I98" s="7" t="str">
        <f t="shared" si="1"/>
        <v>1,096</v>
      </c>
    </row>
    <row r="99" spans="1:9" x14ac:dyDescent="0.25">
      <c r="A99" s="7" t="s">
        <v>1228</v>
      </c>
      <c r="B99" s="3" t="s">
        <v>1176</v>
      </c>
      <c r="C99" s="4" t="s">
        <v>109</v>
      </c>
      <c r="D99" s="4" t="s">
        <v>28</v>
      </c>
      <c r="E99" s="5" t="s">
        <v>6</v>
      </c>
      <c r="F99" s="6">
        <v>0.26296258746397333</v>
      </c>
      <c r="G99" s="7" t="s">
        <v>837</v>
      </c>
      <c r="H99" s="1">
        <v>0.26296258746397333</v>
      </c>
      <c r="I99" s="7" t="str">
        <f t="shared" si="1"/>
        <v>0,263</v>
      </c>
    </row>
    <row r="100" spans="1:9" x14ac:dyDescent="0.25">
      <c r="A100" s="7" t="s">
        <v>1229</v>
      </c>
      <c r="B100" s="66" t="s">
        <v>1498</v>
      </c>
      <c r="C100" s="4" t="s">
        <v>110</v>
      </c>
      <c r="D100" s="4" t="s">
        <v>28</v>
      </c>
      <c r="E100" s="67" t="s">
        <v>106</v>
      </c>
      <c r="F100" s="73" t="e">
        <f>#REF!/#REF!</f>
        <v>#REF!</v>
      </c>
      <c r="G100" s="7" t="s">
        <v>838</v>
      </c>
      <c r="H100" s="1">
        <v>8.0108695652173907</v>
      </c>
      <c r="I100" s="7" t="str">
        <f t="shared" si="1"/>
        <v>8,011</v>
      </c>
    </row>
    <row r="101" spans="1:9" x14ac:dyDescent="0.25">
      <c r="A101" s="7" t="s">
        <v>1230</v>
      </c>
      <c r="B101" s="3" t="s">
        <v>1294</v>
      </c>
      <c r="C101" s="4" t="s">
        <v>111</v>
      </c>
      <c r="D101" s="4" t="s">
        <v>28</v>
      </c>
      <c r="E101" s="5" t="s">
        <v>6</v>
      </c>
      <c r="F101" s="6">
        <v>6.8918918918918921</v>
      </c>
      <c r="G101" s="7" t="s">
        <v>839</v>
      </c>
      <c r="H101" s="1">
        <v>6.8918918918918921</v>
      </c>
      <c r="I101" s="7" t="str">
        <f t="shared" si="1"/>
        <v>6,892</v>
      </c>
    </row>
    <row r="102" spans="1:9" x14ac:dyDescent="0.25">
      <c r="A102" s="7" t="s">
        <v>1231</v>
      </c>
      <c r="B102" s="3" t="s">
        <v>1306</v>
      </c>
      <c r="C102" s="4" t="s">
        <v>112</v>
      </c>
      <c r="D102" s="4" t="s">
        <v>28</v>
      </c>
      <c r="E102" s="5" t="s">
        <v>113</v>
      </c>
      <c r="F102" s="73">
        <v>6.0060000000000002</v>
      </c>
      <c r="G102" s="7" t="s">
        <v>840</v>
      </c>
      <c r="H102" s="1">
        <v>6.0060000000000002</v>
      </c>
      <c r="I102" s="7" t="str">
        <f t="shared" si="1"/>
        <v>6,006</v>
      </c>
    </row>
    <row r="103" spans="1:9" x14ac:dyDescent="0.25">
      <c r="A103" s="7" t="s">
        <v>1232</v>
      </c>
      <c r="B103" s="3" t="s">
        <v>1466</v>
      </c>
      <c r="C103" s="4" t="s">
        <v>114</v>
      </c>
      <c r="D103" s="4" t="s">
        <v>28</v>
      </c>
      <c r="E103" s="5" t="s">
        <v>6</v>
      </c>
      <c r="F103" s="6">
        <f>728.1/85</f>
        <v>8.5658823529411769</v>
      </c>
      <c r="G103" s="7" t="s">
        <v>841</v>
      </c>
      <c r="H103" s="1">
        <v>8.5658823529411769</v>
      </c>
      <c r="I103" s="7" t="str">
        <f t="shared" si="1"/>
        <v>8,566</v>
      </c>
    </row>
    <row r="104" spans="1:9" x14ac:dyDescent="0.25">
      <c r="A104" s="7" t="s">
        <v>1233</v>
      </c>
      <c r="B104" s="66" t="s">
        <v>1174</v>
      </c>
      <c r="C104" s="4" t="s">
        <v>115</v>
      </c>
      <c r="D104" s="4" t="s">
        <v>28</v>
      </c>
      <c r="E104" s="67" t="s">
        <v>106</v>
      </c>
      <c r="F104" s="73" t="e">
        <f>#REF!/#REF!</f>
        <v>#REF!</v>
      </c>
      <c r="G104" s="7" t="s">
        <v>842</v>
      </c>
      <c r="H104" s="1">
        <v>5.7173913043478262</v>
      </c>
      <c r="I104" s="7" t="str">
        <f t="shared" si="1"/>
        <v>5,717</v>
      </c>
    </row>
    <row r="105" spans="1:9" x14ac:dyDescent="0.25">
      <c r="A105" s="7" t="s">
        <v>1234</v>
      </c>
      <c r="B105" s="3" t="s">
        <v>1398</v>
      </c>
      <c r="C105" s="4" t="s">
        <v>116</v>
      </c>
      <c r="D105" s="4" t="s">
        <v>28</v>
      </c>
      <c r="E105" s="5" t="s">
        <v>60</v>
      </c>
      <c r="F105" s="6">
        <v>7</v>
      </c>
      <c r="G105" s="7" t="s">
        <v>843</v>
      </c>
      <c r="H105" s="1">
        <v>7</v>
      </c>
      <c r="I105" s="7" t="str">
        <f t="shared" si="1"/>
        <v>7,000</v>
      </c>
    </row>
    <row r="106" spans="1:9" x14ac:dyDescent="0.25">
      <c r="A106" s="7" t="s">
        <v>1235</v>
      </c>
      <c r="B106" s="3" t="s">
        <v>1313</v>
      </c>
      <c r="C106" s="4" t="s">
        <v>117</v>
      </c>
      <c r="D106" s="4" t="s">
        <v>28</v>
      </c>
      <c r="E106" s="5" t="s">
        <v>6</v>
      </c>
      <c r="F106" s="73">
        <v>6.76</v>
      </c>
      <c r="G106" s="7" t="s">
        <v>844</v>
      </c>
      <c r="H106" s="1">
        <v>6.76</v>
      </c>
      <c r="I106" s="7" t="str">
        <f t="shared" si="1"/>
        <v>6,760</v>
      </c>
    </row>
    <row r="107" spans="1:9" x14ac:dyDescent="0.25">
      <c r="A107" s="7" t="s">
        <v>1236</v>
      </c>
      <c r="B107" s="3" t="s">
        <v>1468</v>
      </c>
      <c r="C107" s="4" t="s">
        <v>118</v>
      </c>
      <c r="D107" s="4" t="s">
        <v>28</v>
      </c>
      <c r="E107" s="5" t="s">
        <v>119</v>
      </c>
      <c r="F107" s="6">
        <f>1338.06/75</f>
        <v>17.840799999999998</v>
      </c>
      <c r="G107" s="7" t="s">
        <v>845</v>
      </c>
      <c r="H107" s="1">
        <v>17.840799999999998</v>
      </c>
      <c r="I107" s="7" t="str">
        <f t="shared" si="1"/>
        <v>17,841</v>
      </c>
    </row>
    <row r="108" spans="1:9" x14ac:dyDescent="0.25">
      <c r="A108" s="7" t="s">
        <v>1237</v>
      </c>
      <c r="B108" s="3" t="s">
        <v>1368</v>
      </c>
      <c r="C108" s="4" t="s">
        <v>120</v>
      </c>
      <c r="D108" s="4" t="s">
        <v>28</v>
      </c>
      <c r="E108" s="5" t="s">
        <v>6</v>
      </c>
      <c r="F108" s="6">
        <f>619.5/62.3</f>
        <v>9.9438202247191008</v>
      </c>
      <c r="G108" s="7" t="s">
        <v>846</v>
      </c>
      <c r="H108" s="1">
        <v>9.9438202247191008</v>
      </c>
      <c r="I108" s="7" t="str">
        <f t="shared" si="1"/>
        <v>9,944</v>
      </c>
    </row>
    <row r="109" spans="1:9" x14ac:dyDescent="0.25">
      <c r="A109" s="7" t="s">
        <v>1238</v>
      </c>
      <c r="B109" s="3" t="s">
        <v>1392</v>
      </c>
      <c r="C109" s="4" t="s">
        <v>121</v>
      </c>
      <c r="D109" s="4" t="s">
        <v>28</v>
      </c>
      <c r="E109" s="5" t="s">
        <v>122</v>
      </c>
      <c r="F109" s="6">
        <f>7.75</f>
        <v>7.75</v>
      </c>
      <c r="G109" s="7" t="s">
        <v>847</v>
      </c>
      <c r="H109" s="1">
        <v>7.75</v>
      </c>
      <c r="I109" s="7" t="str">
        <f t="shared" si="1"/>
        <v>7,750</v>
      </c>
    </row>
    <row r="110" spans="1:9" x14ac:dyDescent="0.25">
      <c r="A110" s="7" t="s">
        <v>1239</v>
      </c>
      <c r="B110" s="3" t="s">
        <v>1394</v>
      </c>
      <c r="C110" s="4" t="s">
        <v>123</v>
      </c>
      <c r="D110" s="4" t="s">
        <v>28</v>
      </c>
      <c r="E110" s="5" t="s">
        <v>122</v>
      </c>
      <c r="F110" s="6">
        <f>8.05</f>
        <v>8.0500000000000007</v>
      </c>
      <c r="G110" s="7" t="s">
        <v>848</v>
      </c>
      <c r="H110" s="1">
        <v>8.0500000000000007</v>
      </c>
      <c r="I110" s="7" t="str">
        <f t="shared" si="1"/>
        <v>8,050</v>
      </c>
    </row>
    <row r="111" spans="1:9" x14ac:dyDescent="0.25">
      <c r="A111" s="7" t="s">
        <v>1240</v>
      </c>
      <c r="B111" s="3" t="s">
        <v>1312</v>
      </c>
      <c r="C111" s="4" t="s">
        <v>124</v>
      </c>
      <c r="D111" s="4" t="s">
        <v>28</v>
      </c>
      <c r="E111" s="5" t="s">
        <v>113</v>
      </c>
      <c r="F111" s="73">
        <v>6.867</v>
      </c>
      <c r="G111" s="7" t="s">
        <v>849</v>
      </c>
      <c r="H111" s="1">
        <v>6.867</v>
      </c>
      <c r="I111" s="7" t="str">
        <f t="shared" si="1"/>
        <v>6,867</v>
      </c>
    </row>
    <row r="112" spans="1:9" x14ac:dyDescent="0.25">
      <c r="A112" s="7" t="s">
        <v>1241</v>
      </c>
      <c r="B112" s="66" t="s">
        <v>1163</v>
      </c>
      <c r="C112" s="4" t="s">
        <v>125</v>
      </c>
      <c r="D112" s="4" t="s">
        <v>28</v>
      </c>
      <c r="E112" s="67" t="s">
        <v>106</v>
      </c>
      <c r="F112" s="73" t="e">
        <f>#REF!/#REF!</f>
        <v>#REF!</v>
      </c>
      <c r="G112" s="7" t="s">
        <v>850</v>
      </c>
      <c r="H112" s="1">
        <v>4.4239130434782608</v>
      </c>
      <c r="I112" s="7" t="str">
        <f t="shared" si="1"/>
        <v>4,424</v>
      </c>
    </row>
    <row r="113" spans="1:9" x14ac:dyDescent="0.25">
      <c r="A113" s="7" t="s">
        <v>1242</v>
      </c>
      <c r="B113" s="66" t="s">
        <v>1305</v>
      </c>
      <c r="C113" s="4" t="s">
        <v>126</v>
      </c>
      <c r="D113" s="4" t="s">
        <v>28</v>
      </c>
      <c r="E113" s="67" t="s">
        <v>106</v>
      </c>
      <c r="F113" s="73" t="e">
        <f>#REF!/#REF!</f>
        <v>#REF!</v>
      </c>
      <c r="G113" s="7" t="s">
        <v>851</v>
      </c>
      <c r="H113" s="1">
        <v>4.4130434782608692</v>
      </c>
      <c r="I113" s="7" t="str">
        <f t="shared" si="1"/>
        <v>4,413</v>
      </c>
    </row>
    <row r="114" spans="1:9" x14ac:dyDescent="0.25">
      <c r="A114" s="7" t="s">
        <v>1243</v>
      </c>
      <c r="B114" s="3" t="s">
        <v>1443</v>
      </c>
      <c r="C114" s="4" t="s">
        <v>127</v>
      </c>
      <c r="D114" s="4" t="s">
        <v>28</v>
      </c>
      <c r="E114" s="5" t="s">
        <v>6</v>
      </c>
      <c r="F114" s="6">
        <v>9.5</v>
      </c>
      <c r="G114" s="7" t="s">
        <v>852</v>
      </c>
      <c r="H114" s="1">
        <v>9.5</v>
      </c>
      <c r="I114" s="7" t="str">
        <f t="shared" si="1"/>
        <v>9,500</v>
      </c>
    </row>
    <row r="115" spans="1:9" x14ac:dyDescent="0.25">
      <c r="A115" s="7" t="s">
        <v>1244</v>
      </c>
      <c r="B115" s="3" t="s">
        <v>1164</v>
      </c>
      <c r="C115" s="4" t="s">
        <v>128</v>
      </c>
      <c r="D115" s="4" t="s">
        <v>28</v>
      </c>
      <c r="E115" s="5" t="s">
        <v>6</v>
      </c>
      <c r="F115" s="6">
        <v>8.9</v>
      </c>
      <c r="G115" s="7" t="s">
        <v>853</v>
      </c>
      <c r="H115" s="1">
        <v>8.9</v>
      </c>
      <c r="I115" s="7" t="str">
        <f t="shared" si="1"/>
        <v>8,900</v>
      </c>
    </row>
    <row r="116" spans="1:9" x14ac:dyDescent="0.25">
      <c r="A116" s="7" t="s">
        <v>1245</v>
      </c>
      <c r="B116" s="3" t="s">
        <v>1165</v>
      </c>
      <c r="C116" s="4" t="s">
        <v>129</v>
      </c>
      <c r="D116" s="4" t="s">
        <v>28</v>
      </c>
      <c r="E116" s="5" t="s">
        <v>6</v>
      </c>
      <c r="F116" s="6">
        <v>7.22</v>
      </c>
      <c r="G116" s="7" t="s">
        <v>854</v>
      </c>
      <c r="H116" s="1">
        <v>7.22</v>
      </c>
      <c r="I116" s="7" t="str">
        <f t="shared" si="1"/>
        <v>7,220</v>
      </c>
    </row>
    <row r="117" spans="1:9" x14ac:dyDescent="0.25">
      <c r="A117" s="7" t="s">
        <v>1246</v>
      </c>
      <c r="B117" s="3" t="s">
        <v>1390</v>
      </c>
      <c r="C117" s="4" t="s">
        <v>130</v>
      </c>
      <c r="D117" s="4" t="s">
        <v>28</v>
      </c>
      <c r="E117" s="5" t="s">
        <v>6</v>
      </c>
      <c r="F117" s="6" t="e">
        <f>642.11/#REF!</f>
        <v>#REF!</v>
      </c>
      <c r="G117" s="7" t="s">
        <v>855</v>
      </c>
      <c r="H117" s="1">
        <v>6.9794565217391309</v>
      </c>
      <c r="I117" s="7" t="str">
        <f t="shared" si="1"/>
        <v>6,979</v>
      </c>
    </row>
    <row r="118" spans="1:9" x14ac:dyDescent="0.25">
      <c r="A118" s="7" t="s">
        <v>1247</v>
      </c>
      <c r="B118" s="3" t="s">
        <v>1448</v>
      </c>
      <c r="C118" s="4" t="s">
        <v>131</v>
      </c>
      <c r="D118" s="4" t="s">
        <v>28</v>
      </c>
      <c r="E118" s="5" t="s">
        <v>6</v>
      </c>
      <c r="F118" s="6">
        <v>10.69</v>
      </c>
      <c r="G118" s="7" t="s">
        <v>856</v>
      </c>
      <c r="H118" s="1">
        <v>10.69</v>
      </c>
      <c r="I118" s="7" t="str">
        <f t="shared" si="1"/>
        <v>10,690</v>
      </c>
    </row>
    <row r="119" spans="1:9" x14ac:dyDescent="0.25">
      <c r="A119" s="7" t="s">
        <v>1248</v>
      </c>
      <c r="B119" s="3" t="s">
        <v>1172</v>
      </c>
      <c r="C119" s="4" t="s">
        <v>132</v>
      </c>
      <c r="D119" s="4" t="s">
        <v>28</v>
      </c>
      <c r="E119" s="5" t="s">
        <v>6</v>
      </c>
      <c r="F119" s="72">
        <v>8.7180156657963455</v>
      </c>
      <c r="G119" s="7" t="s">
        <v>857</v>
      </c>
      <c r="H119" s="1">
        <v>8.7180156657963455</v>
      </c>
      <c r="I119" s="7" t="str">
        <f t="shared" si="1"/>
        <v>8,718</v>
      </c>
    </row>
    <row r="120" spans="1:9" x14ac:dyDescent="0.25">
      <c r="A120" s="7" t="s">
        <v>1249</v>
      </c>
      <c r="B120" s="3" t="s">
        <v>1170</v>
      </c>
      <c r="C120" s="4" t="s">
        <v>133</v>
      </c>
      <c r="D120" s="4" t="s">
        <v>28</v>
      </c>
      <c r="E120" s="5" t="s">
        <v>6</v>
      </c>
      <c r="F120" s="6">
        <v>10.85</v>
      </c>
      <c r="G120" s="7" t="s">
        <v>858</v>
      </c>
      <c r="H120" s="1">
        <v>10.85</v>
      </c>
      <c r="I120" s="7" t="str">
        <f t="shared" si="1"/>
        <v>10,850</v>
      </c>
    </row>
    <row r="121" spans="1:9" x14ac:dyDescent="0.25">
      <c r="A121" s="7" t="s">
        <v>1250</v>
      </c>
      <c r="B121" s="3" t="s">
        <v>1363</v>
      </c>
      <c r="C121" s="4" t="s">
        <v>134</v>
      </c>
      <c r="D121" s="4" t="s">
        <v>28</v>
      </c>
      <c r="E121" s="5" t="s">
        <v>6</v>
      </c>
      <c r="F121" s="72">
        <v>11.16</v>
      </c>
      <c r="G121" s="7" t="s">
        <v>859</v>
      </c>
      <c r="H121" s="1">
        <v>11.16</v>
      </c>
      <c r="I121" s="7" t="str">
        <f t="shared" si="1"/>
        <v>11,160</v>
      </c>
    </row>
    <row r="122" spans="1:9" x14ac:dyDescent="0.25">
      <c r="A122" s="7" t="s">
        <v>1251</v>
      </c>
      <c r="B122" s="3" t="s">
        <v>1365</v>
      </c>
      <c r="C122" s="4" t="s">
        <v>135</v>
      </c>
      <c r="D122" s="4" t="s">
        <v>28</v>
      </c>
      <c r="E122" s="5" t="s">
        <v>60</v>
      </c>
      <c r="F122" s="6">
        <v>9.5</v>
      </c>
      <c r="G122" s="7" t="s">
        <v>860</v>
      </c>
      <c r="H122" s="1">
        <v>9.5</v>
      </c>
      <c r="I122" s="7" t="str">
        <f t="shared" si="1"/>
        <v>9,500</v>
      </c>
    </row>
    <row r="123" spans="1:9" x14ac:dyDescent="0.25">
      <c r="A123" s="7" t="s">
        <v>1252</v>
      </c>
      <c r="B123" s="3" t="s">
        <v>1439</v>
      </c>
      <c r="C123" s="4" t="s">
        <v>136</v>
      </c>
      <c r="D123" s="4" t="s">
        <v>28</v>
      </c>
      <c r="E123" s="5" t="s">
        <v>113</v>
      </c>
      <c r="F123" s="73">
        <v>10.100999999999999</v>
      </c>
      <c r="G123" s="7" t="s">
        <v>861</v>
      </c>
      <c r="H123" s="1">
        <v>10.100999999999999</v>
      </c>
      <c r="I123" s="7" t="str">
        <f t="shared" si="1"/>
        <v>10,101</v>
      </c>
    </row>
    <row r="124" spans="1:9" x14ac:dyDescent="0.25">
      <c r="A124" s="7" t="s">
        <v>1253</v>
      </c>
      <c r="B124" s="3" t="s">
        <v>1171</v>
      </c>
      <c r="C124" s="4" t="s">
        <v>137</v>
      </c>
      <c r="D124" s="4" t="s">
        <v>28</v>
      </c>
      <c r="E124" s="5" t="s">
        <v>6</v>
      </c>
      <c r="F124" s="6">
        <v>8.6220632114882516</v>
      </c>
      <c r="G124" s="7" t="s">
        <v>862</v>
      </c>
      <c r="H124" s="1">
        <v>8.6220632114882516</v>
      </c>
      <c r="I124" s="7" t="str">
        <f t="shared" si="1"/>
        <v>8,622</v>
      </c>
    </row>
    <row r="125" spans="1:9" x14ac:dyDescent="0.25">
      <c r="A125" s="7" t="s">
        <v>1254</v>
      </c>
      <c r="B125" s="3" t="s">
        <v>1303</v>
      </c>
      <c r="C125" s="4" t="s">
        <v>138</v>
      </c>
      <c r="D125" s="4" t="s">
        <v>28</v>
      </c>
      <c r="E125" s="5" t="s">
        <v>6</v>
      </c>
      <c r="F125" s="6">
        <v>10.733028720626633</v>
      </c>
      <c r="G125" s="7" t="s">
        <v>863</v>
      </c>
      <c r="H125" s="1">
        <v>10.733028720626633</v>
      </c>
      <c r="I125" s="7" t="str">
        <f t="shared" si="1"/>
        <v>10,733</v>
      </c>
    </row>
    <row r="126" spans="1:9" x14ac:dyDescent="0.25">
      <c r="A126" s="7" t="s">
        <v>1255</v>
      </c>
      <c r="B126" s="3" t="s">
        <v>1173</v>
      </c>
      <c r="C126" s="4" t="s">
        <v>139</v>
      </c>
      <c r="D126" s="4" t="s">
        <v>28</v>
      </c>
      <c r="E126" s="5" t="s">
        <v>113</v>
      </c>
      <c r="F126" s="73">
        <v>11.802000000000001</v>
      </c>
      <c r="G126" s="7" t="s">
        <v>864</v>
      </c>
      <c r="H126" s="1">
        <v>11.802000000000001</v>
      </c>
      <c r="I126" s="7" t="str">
        <f t="shared" si="1"/>
        <v>11,802</v>
      </c>
    </row>
    <row r="127" spans="1:9" x14ac:dyDescent="0.25">
      <c r="A127" s="7" t="s">
        <v>1256</v>
      </c>
      <c r="B127" s="3" t="s">
        <v>1304</v>
      </c>
      <c r="C127" s="4" t="s">
        <v>140</v>
      </c>
      <c r="D127" s="4" t="s">
        <v>28</v>
      </c>
      <c r="E127" s="5" t="s">
        <v>60</v>
      </c>
      <c r="F127" s="6">
        <v>8.5</v>
      </c>
      <c r="G127" s="7" t="s">
        <v>865</v>
      </c>
      <c r="H127" s="1">
        <v>8.5</v>
      </c>
      <c r="I127" s="7" t="str">
        <f t="shared" si="1"/>
        <v>8,500</v>
      </c>
    </row>
    <row r="128" spans="1:9" x14ac:dyDescent="0.25">
      <c r="A128" s="7" t="s">
        <v>1257</v>
      </c>
      <c r="B128" s="3" t="s">
        <v>1469</v>
      </c>
      <c r="C128" s="4" t="s">
        <v>141</v>
      </c>
      <c r="D128" s="4" t="s">
        <v>28</v>
      </c>
      <c r="E128" s="5" t="s">
        <v>119</v>
      </c>
      <c r="F128" s="6">
        <f>1684.11/75</f>
        <v>22.454799999999999</v>
      </c>
      <c r="G128" s="7" t="s">
        <v>866</v>
      </c>
      <c r="H128" s="1">
        <v>22.454799999999999</v>
      </c>
      <c r="I128" s="7" t="str">
        <f t="shared" si="1"/>
        <v>22,455</v>
      </c>
    </row>
    <row r="129" spans="1:9" x14ac:dyDescent="0.25">
      <c r="A129" s="7" t="s">
        <v>1258</v>
      </c>
      <c r="B129" s="3" t="s">
        <v>1413</v>
      </c>
      <c r="C129" s="4" t="s">
        <v>142</v>
      </c>
      <c r="D129" s="4" t="s">
        <v>28</v>
      </c>
      <c r="E129" s="5" t="s">
        <v>6</v>
      </c>
      <c r="F129" s="6">
        <v>19.099915933232168</v>
      </c>
      <c r="G129" s="7" t="s">
        <v>867</v>
      </c>
      <c r="H129" s="1">
        <v>19.099915933232168</v>
      </c>
      <c r="I129" s="7" t="str">
        <f t="shared" si="1"/>
        <v>19,100</v>
      </c>
    </row>
    <row r="130" spans="1:9" x14ac:dyDescent="0.25">
      <c r="A130" s="7" t="s">
        <v>1259</v>
      </c>
      <c r="B130" s="3" t="s">
        <v>1412</v>
      </c>
      <c r="C130" s="4" t="s">
        <v>143</v>
      </c>
      <c r="D130" s="4" t="s">
        <v>28</v>
      </c>
      <c r="E130" s="5" t="s">
        <v>6</v>
      </c>
      <c r="F130" s="6">
        <v>15.0234981462141</v>
      </c>
      <c r="G130" s="7" t="s">
        <v>868</v>
      </c>
      <c r="H130" s="1">
        <v>15.0234981462141</v>
      </c>
      <c r="I130" s="7" t="str">
        <f t="shared" ref="I130:I193" si="2">FIXED(H130,3)</f>
        <v>15,023</v>
      </c>
    </row>
    <row r="131" spans="1:9" x14ac:dyDescent="0.25">
      <c r="A131" s="7" t="s">
        <v>1260</v>
      </c>
      <c r="B131" s="3" t="s">
        <v>1395</v>
      </c>
      <c r="C131" s="4" t="s">
        <v>144</v>
      </c>
      <c r="D131" s="4" t="s">
        <v>28</v>
      </c>
      <c r="E131" s="5" t="s">
        <v>6</v>
      </c>
      <c r="F131" s="6">
        <v>20.479112271540473</v>
      </c>
      <c r="G131" s="7" t="s">
        <v>869</v>
      </c>
      <c r="H131" s="1">
        <v>20.479112271540473</v>
      </c>
      <c r="I131" s="7" t="str">
        <f t="shared" si="2"/>
        <v>20,479</v>
      </c>
    </row>
    <row r="132" spans="1:9" x14ac:dyDescent="0.25">
      <c r="A132" s="7" t="s">
        <v>1261</v>
      </c>
      <c r="B132" s="3" t="s">
        <v>1310</v>
      </c>
      <c r="C132" s="4" t="s">
        <v>145</v>
      </c>
      <c r="D132" s="4" t="s">
        <v>28</v>
      </c>
      <c r="E132" s="5" t="s">
        <v>6</v>
      </c>
      <c r="F132" s="6">
        <f>2415/62.3</f>
        <v>38.764044943820224</v>
      </c>
      <c r="G132" s="7" t="s">
        <v>870</v>
      </c>
      <c r="H132" s="1">
        <v>38.764044943820224</v>
      </c>
      <c r="I132" s="7" t="str">
        <f t="shared" si="2"/>
        <v>38,764</v>
      </c>
    </row>
    <row r="133" spans="1:9" x14ac:dyDescent="0.25">
      <c r="A133" s="7" t="s">
        <v>1262</v>
      </c>
      <c r="B133" s="3" t="s">
        <v>1311</v>
      </c>
      <c r="C133" s="4" t="s">
        <v>146</v>
      </c>
      <c r="D133" s="4" t="s">
        <v>28</v>
      </c>
      <c r="E133" s="5" t="s">
        <v>6</v>
      </c>
      <c r="F133" s="6">
        <f>2415/62.3</f>
        <v>38.764044943820224</v>
      </c>
      <c r="G133" s="7" t="s">
        <v>871</v>
      </c>
      <c r="H133" s="1">
        <v>38.764044943820224</v>
      </c>
      <c r="I133" s="7" t="str">
        <f t="shared" si="2"/>
        <v>38,764</v>
      </c>
    </row>
    <row r="134" spans="1:9" x14ac:dyDescent="0.25">
      <c r="A134" s="7" t="s">
        <v>1263</v>
      </c>
      <c r="B134" s="3" t="s">
        <v>1386</v>
      </c>
      <c r="C134" s="4" t="s">
        <v>147</v>
      </c>
      <c r="D134" s="4" t="s">
        <v>28</v>
      </c>
      <c r="E134" s="5" t="s">
        <v>6</v>
      </c>
      <c r="F134" s="6">
        <v>15.941906553524806</v>
      </c>
      <c r="G134" s="7" t="s">
        <v>872</v>
      </c>
      <c r="H134" s="1">
        <v>15.941906553524806</v>
      </c>
      <c r="I134" s="7" t="str">
        <f t="shared" si="2"/>
        <v>15,942</v>
      </c>
    </row>
    <row r="135" spans="1:9" x14ac:dyDescent="0.25">
      <c r="A135" s="7" t="s">
        <v>1264</v>
      </c>
      <c r="B135" s="3" t="s">
        <v>1387</v>
      </c>
      <c r="C135" s="4" t="s">
        <v>148</v>
      </c>
      <c r="D135" s="4" t="s">
        <v>28</v>
      </c>
      <c r="E135" s="5" t="s">
        <v>6</v>
      </c>
      <c r="F135" s="6">
        <v>9.5541769973890354</v>
      </c>
      <c r="G135" s="7" t="s">
        <v>873</v>
      </c>
      <c r="H135" s="1">
        <v>9.5541769973890354</v>
      </c>
      <c r="I135" s="7" t="str">
        <f t="shared" si="2"/>
        <v>9,554</v>
      </c>
    </row>
    <row r="136" spans="1:9" x14ac:dyDescent="0.25">
      <c r="A136" s="7" t="s">
        <v>1265</v>
      </c>
      <c r="B136" s="3" t="s">
        <v>1440</v>
      </c>
      <c r="C136" s="4" t="s">
        <v>149</v>
      </c>
      <c r="D136" s="4" t="s">
        <v>28</v>
      </c>
      <c r="E136" s="5" t="s">
        <v>6</v>
      </c>
      <c r="F136" s="6">
        <v>14.5</v>
      </c>
      <c r="G136" s="7" t="s">
        <v>874</v>
      </c>
      <c r="H136" s="1">
        <v>14.5</v>
      </c>
      <c r="I136" s="7" t="str">
        <f t="shared" si="2"/>
        <v>14,500</v>
      </c>
    </row>
    <row r="137" spans="1:9" x14ac:dyDescent="0.25">
      <c r="A137" s="7" t="s">
        <v>1266</v>
      </c>
      <c r="B137" s="3" t="s">
        <v>1421</v>
      </c>
      <c r="C137" s="4" t="s">
        <v>150</v>
      </c>
      <c r="D137" s="4" t="s">
        <v>28</v>
      </c>
      <c r="E137" s="5" t="s">
        <v>6</v>
      </c>
      <c r="F137" s="6">
        <v>12.56</v>
      </c>
      <c r="G137" s="7" t="s">
        <v>875</v>
      </c>
      <c r="H137" s="1">
        <v>12.56</v>
      </c>
      <c r="I137" s="7" t="str">
        <f t="shared" si="2"/>
        <v>12,560</v>
      </c>
    </row>
    <row r="138" spans="1:9" x14ac:dyDescent="0.25">
      <c r="A138" s="7" t="s">
        <v>1267</v>
      </c>
      <c r="B138" s="3" t="s">
        <v>1422</v>
      </c>
      <c r="C138" s="4" t="s">
        <v>151</v>
      </c>
      <c r="D138" s="4" t="s">
        <v>28</v>
      </c>
      <c r="E138" s="5" t="s">
        <v>6</v>
      </c>
      <c r="F138" s="6">
        <v>15.17</v>
      </c>
      <c r="G138" s="7" t="s">
        <v>876</v>
      </c>
      <c r="H138" s="1">
        <v>15.17</v>
      </c>
      <c r="I138" s="7" t="str">
        <f t="shared" si="2"/>
        <v>15,170</v>
      </c>
    </row>
    <row r="139" spans="1:9" x14ac:dyDescent="0.25">
      <c r="A139" s="7" t="s">
        <v>1268</v>
      </c>
      <c r="B139" s="3" t="s">
        <v>1418</v>
      </c>
      <c r="C139" s="4" t="s">
        <v>152</v>
      </c>
      <c r="D139" s="4" t="s">
        <v>28</v>
      </c>
      <c r="E139" s="5" t="s">
        <v>113</v>
      </c>
      <c r="F139" s="73">
        <v>16.568999999999999</v>
      </c>
      <c r="G139" s="7" t="s">
        <v>877</v>
      </c>
      <c r="H139" s="1">
        <v>16.568999999999999</v>
      </c>
      <c r="I139" s="7" t="str">
        <f t="shared" si="2"/>
        <v>16,569</v>
      </c>
    </row>
    <row r="140" spans="1:9" x14ac:dyDescent="0.25">
      <c r="A140" s="7" t="s">
        <v>1269</v>
      </c>
      <c r="B140" s="3" t="s">
        <v>1419</v>
      </c>
      <c r="C140" s="4" t="s">
        <v>153</v>
      </c>
      <c r="D140" s="4" t="s">
        <v>28</v>
      </c>
      <c r="E140" s="5" t="s">
        <v>113</v>
      </c>
      <c r="F140" s="73">
        <v>18.448500000000003</v>
      </c>
      <c r="G140" s="7" t="s">
        <v>878</v>
      </c>
      <c r="H140" s="1">
        <v>18.448500000000003</v>
      </c>
      <c r="I140" s="7" t="str">
        <f t="shared" si="2"/>
        <v>18,449</v>
      </c>
    </row>
    <row r="141" spans="1:9" x14ac:dyDescent="0.25">
      <c r="A141" s="7" t="s">
        <v>1270</v>
      </c>
      <c r="B141" s="3" t="s">
        <v>1425</v>
      </c>
      <c r="C141" s="4" t="s">
        <v>154</v>
      </c>
      <c r="D141" s="4" t="s">
        <v>28</v>
      </c>
      <c r="E141" s="5" t="s">
        <v>6</v>
      </c>
      <c r="F141" s="6">
        <v>14.34</v>
      </c>
      <c r="G141" s="7" t="s">
        <v>879</v>
      </c>
      <c r="H141" s="1">
        <v>14.34</v>
      </c>
      <c r="I141" s="7" t="str">
        <f t="shared" si="2"/>
        <v>14,340</v>
      </c>
    </row>
    <row r="142" spans="1:9" x14ac:dyDescent="0.25">
      <c r="A142" s="7" t="s">
        <v>1271</v>
      </c>
      <c r="B142" s="3" t="s">
        <v>1426</v>
      </c>
      <c r="C142" s="4" t="s">
        <v>155</v>
      </c>
      <c r="D142" s="4" t="s">
        <v>28</v>
      </c>
      <c r="E142" s="5" t="s">
        <v>6</v>
      </c>
      <c r="F142" s="6">
        <v>11.9</v>
      </c>
      <c r="G142" s="7" t="s">
        <v>880</v>
      </c>
      <c r="H142" s="1">
        <v>11.9</v>
      </c>
      <c r="I142" s="7" t="str">
        <f t="shared" si="2"/>
        <v>11,900</v>
      </c>
    </row>
    <row r="143" spans="1:9" x14ac:dyDescent="0.25">
      <c r="A143" s="7" t="s">
        <v>1272</v>
      </c>
      <c r="B143" s="3" t="s">
        <v>1444</v>
      </c>
      <c r="C143" s="4" t="s">
        <v>156</v>
      </c>
      <c r="D143" s="4" t="s">
        <v>28</v>
      </c>
      <c r="E143" s="5" t="s">
        <v>6</v>
      </c>
      <c r="F143" s="6">
        <v>25</v>
      </c>
      <c r="G143" s="7" t="s">
        <v>881</v>
      </c>
      <c r="H143" s="1">
        <v>25</v>
      </c>
      <c r="I143" s="7" t="str">
        <f t="shared" si="2"/>
        <v>25,000</v>
      </c>
    </row>
    <row r="144" spans="1:9" x14ac:dyDescent="0.25">
      <c r="A144" s="7" t="s">
        <v>1273</v>
      </c>
      <c r="B144" s="3" t="s">
        <v>1166</v>
      </c>
      <c r="C144" s="4" t="s">
        <v>157</v>
      </c>
      <c r="D144" s="4" t="s">
        <v>28</v>
      </c>
      <c r="E144" s="5" t="s">
        <v>6</v>
      </c>
      <c r="F144" s="6">
        <f>599.56/66</f>
        <v>9.084242424242424</v>
      </c>
      <c r="G144" s="7" t="s">
        <v>882</v>
      </c>
      <c r="H144" s="1">
        <v>9.084242424242424</v>
      </c>
      <c r="I144" s="7" t="str">
        <f t="shared" si="2"/>
        <v>9,084</v>
      </c>
    </row>
    <row r="145" spans="1:9" x14ac:dyDescent="0.25">
      <c r="A145" s="7" t="s">
        <v>1274</v>
      </c>
      <c r="B145" s="3" t="s">
        <v>1167</v>
      </c>
      <c r="C145" s="4" t="s">
        <v>158</v>
      </c>
      <c r="D145" s="4" t="s">
        <v>28</v>
      </c>
      <c r="E145" s="5" t="s">
        <v>6</v>
      </c>
      <c r="F145" s="6">
        <f>909.86/66</f>
        <v>13.785757575757575</v>
      </c>
      <c r="G145" s="7" t="s">
        <v>883</v>
      </c>
      <c r="H145" s="1">
        <v>13.785757575757575</v>
      </c>
      <c r="I145" s="7" t="str">
        <f t="shared" si="2"/>
        <v>13,786</v>
      </c>
    </row>
    <row r="146" spans="1:9" x14ac:dyDescent="0.25">
      <c r="A146" s="7" t="s">
        <v>1275</v>
      </c>
      <c r="B146" s="3" t="s">
        <v>1168</v>
      </c>
      <c r="C146" s="4" t="s">
        <v>159</v>
      </c>
      <c r="D146" s="4" t="s">
        <v>28</v>
      </c>
      <c r="E146" s="5" t="s">
        <v>6</v>
      </c>
      <c r="F146" s="6">
        <v>15</v>
      </c>
      <c r="G146" s="7" t="s">
        <v>884</v>
      </c>
      <c r="H146" s="1">
        <v>15</v>
      </c>
      <c r="I146" s="7" t="str">
        <f t="shared" si="2"/>
        <v>15,000</v>
      </c>
    </row>
    <row r="147" spans="1:9" x14ac:dyDescent="0.25">
      <c r="A147" s="7" t="s">
        <v>1276</v>
      </c>
      <c r="B147" s="3" t="s">
        <v>1169</v>
      </c>
      <c r="C147" s="4" t="s">
        <v>160</v>
      </c>
      <c r="D147" s="4" t="s">
        <v>28</v>
      </c>
      <c r="E147" s="5" t="s">
        <v>6</v>
      </c>
      <c r="F147" s="6">
        <v>15</v>
      </c>
      <c r="G147" s="7" t="s">
        <v>885</v>
      </c>
      <c r="H147" s="1">
        <v>15</v>
      </c>
      <c r="I147" s="7" t="str">
        <f t="shared" si="2"/>
        <v>15,000</v>
      </c>
    </row>
    <row r="148" spans="1:9" x14ac:dyDescent="0.25">
      <c r="A148" s="7" t="s">
        <v>1277</v>
      </c>
      <c r="B148" s="3" t="s">
        <v>1177</v>
      </c>
      <c r="C148" s="4" t="s">
        <v>161</v>
      </c>
      <c r="D148" s="4" t="s">
        <v>28</v>
      </c>
      <c r="E148" s="5" t="s">
        <v>6</v>
      </c>
      <c r="F148" s="6">
        <v>1.7530839164264889E-2</v>
      </c>
      <c r="G148" s="7" t="s">
        <v>886</v>
      </c>
      <c r="H148" s="1">
        <v>1.7530839164264889E-2</v>
      </c>
      <c r="I148" s="7" t="str">
        <f t="shared" si="2"/>
        <v>0,018</v>
      </c>
    </row>
    <row r="149" spans="1:9" x14ac:dyDescent="0.25">
      <c r="A149" s="7" t="s">
        <v>1278</v>
      </c>
      <c r="B149" s="3" t="s">
        <v>1178</v>
      </c>
      <c r="C149" s="4" t="s">
        <v>162</v>
      </c>
      <c r="D149" s="4" t="s">
        <v>28</v>
      </c>
      <c r="E149" s="5" t="s">
        <v>91</v>
      </c>
      <c r="F149" s="6">
        <f>56.21/85</f>
        <v>0.66129411764705881</v>
      </c>
      <c r="G149" s="7" t="s">
        <v>887</v>
      </c>
      <c r="H149" s="1">
        <v>0.66129411764705881</v>
      </c>
      <c r="I149" s="7" t="str">
        <f t="shared" si="2"/>
        <v>0,661</v>
      </c>
    </row>
    <row r="150" spans="1:9" x14ac:dyDescent="0.25">
      <c r="A150" s="7" t="s">
        <v>1279</v>
      </c>
      <c r="B150" s="3" t="s">
        <v>1415</v>
      </c>
      <c r="C150" s="4" t="s">
        <v>163</v>
      </c>
      <c r="D150" s="4" t="s">
        <v>28</v>
      </c>
      <c r="E150" s="5" t="s">
        <v>6</v>
      </c>
      <c r="F150" s="6" t="e">
        <f>35.47/#REF!</f>
        <v>#REF!</v>
      </c>
      <c r="G150" s="7" t="s">
        <v>888</v>
      </c>
      <c r="H150" s="1">
        <v>0.38554347826086954</v>
      </c>
      <c r="I150" s="7" t="str">
        <f t="shared" si="2"/>
        <v>0,386</v>
      </c>
    </row>
    <row r="151" spans="1:9" x14ac:dyDescent="0.25">
      <c r="A151" s="7" t="s">
        <v>1280</v>
      </c>
      <c r="B151" s="3" t="s">
        <v>1345</v>
      </c>
      <c r="C151" s="4" t="s">
        <v>164</v>
      </c>
      <c r="D151" s="4" t="s">
        <v>28</v>
      </c>
      <c r="E151" s="5" t="s">
        <v>60</v>
      </c>
      <c r="F151" s="6">
        <v>0.61705128205128212</v>
      </c>
      <c r="G151" s="7" t="s">
        <v>889</v>
      </c>
      <c r="H151" s="1">
        <v>0.61705128205128212</v>
      </c>
      <c r="I151" s="7" t="str">
        <f t="shared" si="2"/>
        <v>0,617</v>
      </c>
    </row>
    <row r="152" spans="1:9" x14ac:dyDescent="0.25">
      <c r="A152" s="7" t="s">
        <v>1281</v>
      </c>
      <c r="B152" s="3" t="s">
        <v>1334</v>
      </c>
      <c r="C152" s="4" t="s">
        <v>165</v>
      </c>
      <c r="D152" s="4" t="s">
        <v>28</v>
      </c>
      <c r="E152" s="5" t="s">
        <v>60</v>
      </c>
      <c r="F152" s="6">
        <v>0.55542307692307691</v>
      </c>
      <c r="G152" s="7" t="s">
        <v>890</v>
      </c>
      <c r="H152" s="1">
        <v>0.55542307692307691</v>
      </c>
      <c r="I152" s="7" t="str">
        <f t="shared" si="2"/>
        <v>0,555</v>
      </c>
    </row>
    <row r="153" spans="1:9" x14ac:dyDescent="0.25">
      <c r="A153" s="7" t="s">
        <v>1282</v>
      </c>
      <c r="B153" s="3" t="s">
        <v>1179</v>
      </c>
      <c r="C153" s="4" t="s">
        <v>166</v>
      </c>
      <c r="D153" s="4" t="s">
        <v>28</v>
      </c>
      <c r="E153" s="5" t="s">
        <v>91</v>
      </c>
      <c r="F153" s="6">
        <f>49.5/85</f>
        <v>0.58235294117647063</v>
      </c>
      <c r="G153" s="7" t="s">
        <v>891</v>
      </c>
      <c r="H153" s="1">
        <v>0.58235294117647063</v>
      </c>
      <c r="I153" s="7" t="str">
        <f t="shared" si="2"/>
        <v>0,582</v>
      </c>
    </row>
    <row r="154" spans="1:9" x14ac:dyDescent="0.25">
      <c r="A154" s="7" t="s">
        <v>1283</v>
      </c>
      <c r="B154" s="3" t="s">
        <v>1338</v>
      </c>
      <c r="C154" s="4" t="s">
        <v>167</v>
      </c>
      <c r="D154" s="4" t="s">
        <v>28</v>
      </c>
      <c r="E154" s="5" t="s">
        <v>6</v>
      </c>
      <c r="F154" s="6">
        <v>1.0014102564102565</v>
      </c>
      <c r="G154" s="7" t="s">
        <v>892</v>
      </c>
      <c r="H154" s="1">
        <v>1.0014102564102565</v>
      </c>
      <c r="I154" s="7" t="str">
        <f t="shared" si="2"/>
        <v>1,001</v>
      </c>
    </row>
    <row r="155" spans="1:9" x14ac:dyDescent="0.25">
      <c r="A155" s="7" t="s">
        <v>1284</v>
      </c>
      <c r="B155" s="3" t="s">
        <v>1336</v>
      </c>
      <c r="C155" s="4" t="s">
        <v>168</v>
      </c>
      <c r="D155" s="4" t="s">
        <v>28</v>
      </c>
      <c r="E155" s="5" t="s">
        <v>60</v>
      </c>
      <c r="F155" s="6">
        <v>1.05</v>
      </c>
      <c r="G155" s="7" t="s">
        <v>893</v>
      </c>
      <c r="H155" s="1">
        <v>1.05</v>
      </c>
      <c r="I155" s="7" t="str">
        <f t="shared" si="2"/>
        <v>1,050</v>
      </c>
    </row>
    <row r="156" spans="1:9" x14ac:dyDescent="0.25">
      <c r="A156" s="7" t="s">
        <v>1285</v>
      </c>
      <c r="B156" s="3" t="s">
        <v>1330</v>
      </c>
      <c r="C156" s="4" t="s">
        <v>169</v>
      </c>
      <c r="D156" s="4" t="s">
        <v>28</v>
      </c>
      <c r="E156" s="5" t="s">
        <v>60</v>
      </c>
      <c r="F156" s="6">
        <v>1.303076923076923</v>
      </c>
      <c r="G156" s="7" t="s">
        <v>894</v>
      </c>
      <c r="H156" s="1">
        <v>1.303076923076923</v>
      </c>
      <c r="I156" s="7" t="str">
        <f t="shared" si="2"/>
        <v>1,303</v>
      </c>
    </row>
    <row r="157" spans="1:9" x14ac:dyDescent="0.25">
      <c r="A157" s="7" t="s">
        <v>1286</v>
      </c>
      <c r="B157" s="3" t="s">
        <v>1335</v>
      </c>
      <c r="C157" s="4" t="s">
        <v>170</v>
      </c>
      <c r="D157" s="4" t="s">
        <v>28</v>
      </c>
      <c r="E157" s="5" t="s">
        <v>60</v>
      </c>
      <c r="F157" s="6">
        <v>1.05</v>
      </c>
      <c r="G157" s="7" t="s">
        <v>895</v>
      </c>
      <c r="H157" s="1">
        <v>1.05</v>
      </c>
      <c r="I157" s="7" t="str">
        <f t="shared" si="2"/>
        <v>1,050</v>
      </c>
    </row>
    <row r="158" spans="1:9" x14ac:dyDescent="0.25">
      <c r="A158" s="7" t="s">
        <v>1287</v>
      </c>
      <c r="B158" s="3" t="s">
        <v>1347</v>
      </c>
      <c r="C158" s="4" t="s">
        <v>171</v>
      </c>
      <c r="D158" s="4" t="s">
        <v>28</v>
      </c>
      <c r="E158" s="5" t="s">
        <v>60</v>
      </c>
      <c r="F158" s="6">
        <v>0</v>
      </c>
      <c r="G158" s="7" t="s">
        <v>896</v>
      </c>
      <c r="H158" s="1">
        <v>0</v>
      </c>
      <c r="I158" s="7" t="str">
        <f t="shared" si="2"/>
        <v>0,000</v>
      </c>
    </row>
    <row r="159" spans="1:9" x14ac:dyDescent="0.25">
      <c r="A159" s="7" t="s">
        <v>1288</v>
      </c>
      <c r="B159" s="3" t="s">
        <v>1344</v>
      </c>
      <c r="C159" s="4" t="s">
        <v>172</v>
      </c>
      <c r="D159" s="4" t="s">
        <v>28</v>
      </c>
      <c r="E159" s="5" t="s">
        <v>60</v>
      </c>
      <c r="F159" s="6">
        <v>1.26</v>
      </c>
      <c r="G159" s="7" t="s">
        <v>897</v>
      </c>
      <c r="H159" s="1">
        <v>1.26</v>
      </c>
      <c r="I159" s="7" t="str">
        <f t="shared" si="2"/>
        <v>1,260</v>
      </c>
    </row>
    <row r="160" spans="1:9" x14ac:dyDescent="0.25">
      <c r="A160" s="7" t="s">
        <v>1289</v>
      </c>
      <c r="B160" s="3" t="s">
        <v>1180</v>
      </c>
      <c r="C160" s="4" t="s">
        <v>173</v>
      </c>
      <c r="D160" s="4" t="s">
        <v>28</v>
      </c>
      <c r="E160" s="5" t="s">
        <v>6</v>
      </c>
      <c r="F160" s="6">
        <f>30.765/62.3</f>
        <v>0.49382022471910114</v>
      </c>
      <c r="G160" s="7" t="s">
        <v>898</v>
      </c>
      <c r="H160" s="1">
        <v>0.49382022471910114</v>
      </c>
      <c r="I160" s="7" t="str">
        <f t="shared" si="2"/>
        <v>0,494</v>
      </c>
    </row>
    <row r="161" spans="1:9" x14ac:dyDescent="0.25">
      <c r="A161" s="7" t="s">
        <v>1290</v>
      </c>
      <c r="B161" s="3" t="s">
        <v>1373</v>
      </c>
      <c r="C161" s="4" t="s">
        <v>174</v>
      </c>
      <c r="D161" s="4" t="s">
        <v>28</v>
      </c>
      <c r="E161" s="5" t="s">
        <v>6</v>
      </c>
      <c r="F161" s="6">
        <f>30.24/62.3</f>
        <v>0.48539325842696629</v>
      </c>
      <c r="G161" s="7" t="s">
        <v>899</v>
      </c>
      <c r="H161" s="1">
        <v>0.48539325842696629</v>
      </c>
      <c r="I161" s="7" t="str">
        <f t="shared" si="2"/>
        <v>0,485</v>
      </c>
    </row>
    <row r="162" spans="1:9" x14ac:dyDescent="0.25">
      <c r="A162" s="7" t="s">
        <v>1291</v>
      </c>
      <c r="B162" s="3" t="s">
        <v>1446</v>
      </c>
      <c r="C162" s="4" t="s">
        <v>175</v>
      </c>
      <c r="D162" s="4" t="s">
        <v>28</v>
      </c>
      <c r="E162" s="5" t="s">
        <v>6</v>
      </c>
      <c r="F162" s="6" t="e">
        <f>48.33/#REF!</f>
        <v>#REF!</v>
      </c>
      <c r="G162" s="7" t="s">
        <v>900</v>
      </c>
      <c r="H162" s="1">
        <v>0.52532608695652172</v>
      </c>
      <c r="I162" s="7" t="str">
        <f t="shared" si="2"/>
        <v>0,525</v>
      </c>
    </row>
    <row r="163" spans="1:9" x14ac:dyDescent="0.25">
      <c r="A163" s="7" t="s">
        <v>1292</v>
      </c>
      <c r="B163" s="3" t="s">
        <v>1406</v>
      </c>
      <c r="C163" s="4" t="s">
        <v>176</v>
      </c>
      <c r="D163" s="4" t="s">
        <v>28</v>
      </c>
      <c r="E163" s="5" t="s">
        <v>6</v>
      </c>
      <c r="F163" s="6">
        <v>15.941906553524806</v>
      </c>
      <c r="G163" s="7" t="s">
        <v>901</v>
      </c>
      <c r="H163" s="1">
        <v>15.941906553524806</v>
      </c>
      <c r="I163" s="7" t="str">
        <f t="shared" si="2"/>
        <v>15,942</v>
      </c>
    </row>
    <row r="164" spans="1:9" x14ac:dyDescent="0.25">
      <c r="A164" s="7" t="s">
        <v>1293</v>
      </c>
      <c r="B164" s="3" t="s">
        <v>1181</v>
      </c>
      <c r="C164" s="4" t="s">
        <v>177</v>
      </c>
      <c r="D164" s="4" t="s">
        <v>28</v>
      </c>
      <c r="E164" s="5" t="s">
        <v>6</v>
      </c>
      <c r="F164" s="6">
        <v>0.98717948717948723</v>
      </c>
      <c r="G164" s="7" t="s">
        <v>902</v>
      </c>
      <c r="H164" s="1">
        <v>0.98717948717948723</v>
      </c>
      <c r="I164" s="7" t="str">
        <f t="shared" si="2"/>
        <v>0,987</v>
      </c>
    </row>
    <row r="165" spans="1:9" x14ac:dyDescent="0.25">
      <c r="A165" s="7" t="s">
        <v>1294</v>
      </c>
      <c r="B165" s="3" t="s">
        <v>1479</v>
      </c>
      <c r="C165" s="4" t="s">
        <v>178</v>
      </c>
      <c r="D165" s="4" t="s">
        <v>28</v>
      </c>
      <c r="E165" s="5" t="s">
        <v>6</v>
      </c>
      <c r="F165" s="6">
        <v>20.479112271540473</v>
      </c>
      <c r="G165" s="7" t="s">
        <v>903</v>
      </c>
      <c r="H165" s="1">
        <v>20.479112271540473</v>
      </c>
      <c r="I165" s="7" t="str">
        <f t="shared" si="2"/>
        <v>20,479</v>
      </c>
    </row>
    <row r="166" spans="1:9" x14ac:dyDescent="0.25">
      <c r="A166" s="7" t="s">
        <v>1295</v>
      </c>
      <c r="B166" s="3" t="s">
        <v>1490</v>
      </c>
      <c r="C166" s="4" t="s">
        <v>179</v>
      </c>
      <c r="D166" s="4" t="s">
        <v>28</v>
      </c>
      <c r="E166" s="5" t="s">
        <v>6</v>
      </c>
      <c r="F166" s="6">
        <f>93.45/62.3</f>
        <v>1.5000000000000002</v>
      </c>
      <c r="G166" s="7" t="s">
        <v>904</v>
      </c>
      <c r="H166" s="1">
        <v>1.5000000000000002</v>
      </c>
      <c r="I166" s="7" t="str">
        <f t="shared" si="2"/>
        <v>1,500</v>
      </c>
    </row>
    <row r="167" spans="1:9" x14ac:dyDescent="0.25">
      <c r="A167" s="7" t="s">
        <v>1296</v>
      </c>
      <c r="B167" s="3" t="s">
        <v>1182</v>
      </c>
      <c r="C167" s="4" t="s">
        <v>180</v>
      </c>
      <c r="D167" s="4" t="s">
        <v>28</v>
      </c>
      <c r="E167" s="5" t="s">
        <v>6</v>
      </c>
      <c r="F167" s="6">
        <v>0.83002816901408405</v>
      </c>
      <c r="G167" s="7" t="s">
        <v>905</v>
      </c>
      <c r="H167" s="1">
        <v>0.83002816901408405</v>
      </c>
      <c r="I167" s="7" t="str">
        <f t="shared" si="2"/>
        <v>0,830</v>
      </c>
    </row>
    <row r="168" spans="1:9" x14ac:dyDescent="0.25">
      <c r="A168" s="7" t="s">
        <v>1297</v>
      </c>
      <c r="B168" s="3" t="s">
        <v>1367</v>
      </c>
      <c r="C168" s="7" t="s">
        <v>181</v>
      </c>
      <c r="D168" s="4" t="s">
        <v>28</v>
      </c>
      <c r="E168" s="5" t="s">
        <v>113</v>
      </c>
      <c r="F168" s="73">
        <v>0.87149999999999994</v>
      </c>
      <c r="G168" s="7" t="s">
        <v>906</v>
      </c>
      <c r="H168" s="1">
        <v>0.87149999999999994</v>
      </c>
      <c r="I168" s="7" t="str">
        <f t="shared" si="2"/>
        <v>0,872</v>
      </c>
    </row>
    <row r="169" spans="1:9" x14ac:dyDescent="0.25">
      <c r="A169" s="7" t="s">
        <v>1298</v>
      </c>
      <c r="B169" s="3" t="s">
        <v>1316</v>
      </c>
      <c r="C169" s="4" t="s">
        <v>182</v>
      </c>
      <c r="D169" s="4" t="s">
        <v>28</v>
      </c>
      <c r="E169" s="5" t="s">
        <v>60</v>
      </c>
      <c r="F169" s="6">
        <v>2.1</v>
      </c>
      <c r="G169" s="7" t="s">
        <v>907</v>
      </c>
      <c r="H169" s="1">
        <v>2.1</v>
      </c>
      <c r="I169" s="7" t="str">
        <f t="shared" si="2"/>
        <v>2,100</v>
      </c>
    </row>
    <row r="170" spans="1:9" x14ac:dyDescent="0.25">
      <c r="A170" s="7" t="s">
        <v>1299</v>
      </c>
      <c r="B170" s="3" t="s">
        <v>1184</v>
      </c>
      <c r="C170" s="4" t="s">
        <v>183</v>
      </c>
      <c r="D170" s="4" t="s">
        <v>28</v>
      </c>
      <c r="E170" s="5" t="s">
        <v>6</v>
      </c>
      <c r="F170" s="6">
        <v>4.8209807701728451</v>
      </c>
      <c r="G170" s="7" t="s">
        <v>908</v>
      </c>
      <c r="H170" s="1">
        <v>4.8209807701728451</v>
      </c>
      <c r="I170" s="7" t="str">
        <f t="shared" si="2"/>
        <v>4,821</v>
      </c>
    </row>
    <row r="171" spans="1:9" x14ac:dyDescent="0.25">
      <c r="A171" s="7" t="s">
        <v>1300</v>
      </c>
      <c r="B171" s="3" t="s">
        <v>1185</v>
      </c>
      <c r="C171" s="4" t="s">
        <v>184</v>
      </c>
      <c r="D171" s="4" t="s">
        <v>28</v>
      </c>
      <c r="E171" s="5" t="s">
        <v>6</v>
      </c>
      <c r="F171" s="6">
        <v>6.1357937074927111</v>
      </c>
      <c r="G171" s="7" t="s">
        <v>909</v>
      </c>
      <c r="H171" s="1">
        <v>6.1357937074927111</v>
      </c>
      <c r="I171" s="7" t="str">
        <f t="shared" si="2"/>
        <v>6,136</v>
      </c>
    </row>
    <row r="172" spans="1:9" x14ac:dyDescent="0.25">
      <c r="A172" s="7" t="s">
        <v>1301</v>
      </c>
      <c r="B172" s="3" t="s">
        <v>1186</v>
      </c>
      <c r="C172" s="4" t="s">
        <v>185</v>
      </c>
      <c r="D172" s="4" t="s">
        <v>28</v>
      </c>
      <c r="E172" s="5" t="s">
        <v>6</v>
      </c>
      <c r="F172" s="6">
        <v>6.1357937074927111</v>
      </c>
      <c r="G172" s="7" t="s">
        <v>910</v>
      </c>
      <c r="H172" s="1">
        <v>6.1357937074927111</v>
      </c>
      <c r="I172" s="7" t="str">
        <f t="shared" si="2"/>
        <v>6,136</v>
      </c>
    </row>
    <row r="173" spans="1:9" x14ac:dyDescent="0.25">
      <c r="A173" s="7" t="s">
        <v>1302</v>
      </c>
      <c r="B173" s="3" t="s">
        <v>1187</v>
      </c>
      <c r="C173" s="4" t="s">
        <v>186</v>
      </c>
      <c r="D173" s="4" t="s">
        <v>28</v>
      </c>
      <c r="E173" s="5" t="s">
        <v>6</v>
      </c>
      <c r="F173" s="6">
        <v>4.8209807701728451</v>
      </c>
      <c r="G173" s="7" t="s">
        <v>911</v>
      </c>
      <c r="H173" s="1">
        <v>4.8209807701728451</v>
      </c>
      <c r="I173" s="7" t="str">
        <f t="shared" si="2"/>
        <v>4,821</v>
      </c>
    </row>
    <row r="174" spans="1:9" x14ac:dyDescent="0.25">
      <c r="A174" s="7" t="s">
        <v>1303</v>
      </c>
      <c r="B174" s="3" t="s">
        <v>1189</v>
      </c>
      <c r="C174" s="4" t="s">
        <v>187</v>
      </c>
      <c r="D174" s="4" t="s">
        <v>28</v>
      </c>
      <c r="E174" s="5" t="s">
        <v>6</v>
      </c>
      <c r="F174" s="6">
        <v>2.1913548955331112</v>
      </c>
      <c r="G174" s="7" t="s">
        <v>912</v>
      </c>
      <c r="H174" s="1">
        <v>2.1913548955331112</v>
      </c>
      <c r="I174" s="7" t="str">
        <f t="shared" si="2"/>
        <v>2,191</v>
      </c>
    </row>
    <row r="175" spans="1:9" x14ac:dyDescent="0.25">
      <c r="A175" s="7" t="s">
        <v>1304</v>
      </c>
      <c r="B175" s="3" t="s">
        <v>1188</v>
      </c>
      <c r="C175" s="4" t="s">
        <v>188</v>
      </c>
      <c r="D175" s="4" t="s">
        <v>28</v>
      </c>
      <c r="E175" s="5" t="s">
        <v>6</v>
      </c>
      <c r="F175" s="6">
        <v>4.8209807701728451</v>
      </c>
      <c r="G175" s="7" t="s">
        <v>913</v>
      </c>
      <c r="H175" s="1">
        <v>4.8209807701728451</v>
      </c>
      <c r="I175" s="7" t="str">
        <f t="shared" si="2"/>
        <v>4,821</v>
      </c>
    </row>
    <row r="176" spans="1:9" x14ac:dyDescent="0.25">
      <c r="A176" s="7" t="s">
        <v>1305</v>
      </c>
      <c r="B176" s="3" t="s">
        <v>1190</v>
      </c>
      <c r="C176" s="4" t="s">
        <v>189</v>
      </c>
      <c r="D176" s="4" t="s">
        <v>28</v>
      </c>
      <c r="E176" s="5" t="s">
        <v>6</v>
      </c>
      <c r="F176" s="6">
        <v>4.8209807701728451</v>
      </c>
      <c r="G176" s="7" t="s">
        <v>914</v>
      </c>
      <c r="H176" s="1">
        <v>4.8209807701728451</v>
      </c>
      <c r="I176" s="7" t="str">
        <f t="shared" si="2"/>
        <v>4,821</v>
      </c>
    </row>
    <row r="177" spans="1:9" x14ac:dyDescent="0.25">
      <c r="A177" s="7" t="s">
        <v>1306</v>
      </c>
      <c r="B177" s="3" t="s">
        <v>1191</v>
      </c>
      <c r="C177" s="4" t="s">
        <v>190</v>
      </c>
      <c r="D177" s="4" t="s">
        <v>28</v>
      </c>
      <c r="E177" s="5" t="s">
        <v>6</v>
      </c>
      <c r="F177" s="6">
        <v>5.0401162597261555</v>
      </c>
      <c r="G177" s="7" t="s">
        <v>915</v>
      </c>
      <c r="H177" s="1">
        <v>5.0401162597261555</v>
      </c>
      <c r="I177" s="7" t="str">
        <f t="shared" si="2"/>
        <v>5,040</v>
      </c>
    </row>
    <row r="178" spans="1:9" x14ac:dyDescent="0.25">
      <c r="A178" s="7" t="s">
        <v>1307</v>
      </c>
      <c r="B178" s="3" t="s">
        <v>1192</v>
      </c>
      <c r="C178" s="4" t="s">
        <v>191</v>
      </c>
      <c r="D178" s="4" t="s">
        <v>28</v>
      </c>
      <c r="E178" s="5" t="s">
        <v>6</v>
      </c>
      <c r="F178" s="6">
        <v>2.1913548955331112</v>
      </c>
      <c r="G178" s="7" t="s">
        <v>916</v>
      </c>
      <c r="H178" s="1">
        <v>2.1913548955331112</v>
      </c>
      <c r="I178" s="7" t="str">
        <f t="shared" si="2"/>
        <v>2,191</v>
      </c>
    </row>
    <row r="179" spans="1:9" x14ac:dyDescent="0.25">
      <c r="A179" s="7" t="s">
        <v>1308</v>
      </c>
      <c r="B179" s="3" t="s">
        <v>1193</v>
      </c>
      <c r="C179" s="4" t="s">
        <v>192</v>
      </c>
      <c r="D179" s="4" t="s">
        <v>28</v>
      </c>
      <c r="E179" s="5" t="s">
        <v>6</v>
      </c>
      <c r="F179" s="6">
        <v>9.56</v>
      </c>
      <c r="G179" s="7" t="s">
        <v>917</v>
      </c>
      <c r="H179" s="1">
        <v>9.56</v>
      </c>
      <c r="I179" s="7" t="str">
        <f t="shared" si="2"/>
        <v>9,560</v>
      </c>
    </row>
    <row r="180" spans="1:9" x14ac:dyDescent="0.25">
      <c r="A180" s="7" t="s">
        <v>1309</v>
      </c>
      <c r="B180" s="3" t="s">
        <v>1194</v>
      </c>
      <c r="C180" s="4" t="s">
        <v>193</v>
      </c>
      <c r="D180" s="4" t="s">
        <v>28</v>
      </c>
      <c r="E180" s="5" t="s">
        <v>6</v>
      </c>
      <c r="F180" s="6">
        <v>6.14</v>
      </c>
      <c r="G180" s="7" t="s">
        <v>918</v>
      </c>
      <c r="H180" s="1">
        <v>6.14</v>
      </c>
      <c r="I180" s="7" t="str">
        <f t="shared" si="2"/>
        <v>6,140</v>
      </c>
    </row>
    <row r="181" spans="1:9" x14ac:dyDescent="0.25">
      <c r="A181" s="7" t="s">
        <v>1310</v>
      </c>
      <c r="B181" s="3" t="s">
        <v>1195</v>
      </c>
      <c r="C181" s="4" t="s">
        <v>194</v>
      </c>
      <c r="D181" s="4" t="s">
        <v>28</v>
      </c>
      <c r="E181" s="5" t="s">
        <v>6</v>
      </c>
      <c r="F181" s="6">
        <v>8</v>
      </c>
      <c r="G181" s="7" t="s">
        <v>919</v>
      </c>
      <c r="H181" s="1">
        <v>8</v>
      </c>
      <c r="I181" s="7" t="str">
        <f t="shared" si="2"/>
        <v>8,000</v>
      </c>
    </row>
    <row r="182" spans="1:9" x14ac:dyDescent="0.25">
      <c r="A182" s="7" t="s">
        <v>1311</v>
      </c>
      <c r="B182" s="3" t="s">
        <v>1196</v>
      </c>
      <c r="C182" s="4" t="s">
        <v>195</v>
      </c>
      <c r="D182" s="4" t="s">
        <v>28</v>
      </c>
      <c r="E182" s="5" t="s">
        <v>6</v>
      </c>
      <c r="F182" s="6">
        <v>8</v>
      </c>
      <c r="G182" s="7" t="s">
        <v>920</v>
      </c>
      <c r="H182" s="1">
        <v>8</v>
      </c>
      <c r="I182" s="7" t="str">
        <f t="shared" si="2"/>
        <v>8,000</v>
      </c>
    </row>
    <row r="183" spans="1:9" x14ac:dyDescent="0.25">
      <c r="A183" s="7" t="s">
        <v>1312</v>
      </c>
      <c r="B183" s="3" t="s">
        <v>1197</v>
      </c>
      <c r="C183" s="4" t="s">
        <v>196</v>
      </c>
      <c r="D183" s="4" t="s">
        <v>28</v>
      </c>
      <c r="E183" s="5" t="s">
        <v>6</v>
      </c>
      <c r="F183" s="6">
        <v>8.1999999999999993</v>
      </c>
      <c r="G183" s="7" t="s">
        <v>921</v>
      </c>
      <c r="H183" s="1">
        <v>8.1999999999999993</v>
      </c>
      <c r="I183" s="7" t="str">
        <f t="shared" si="2"/>
        <v>8,200</v>
      </c>
    </row>
    <row r="184" spans="1:9" x14ac:dyDescent="0.25">
      <c r="A184" s="7" t="s">
        <v>1313</v>
      </c>
      <c r="B184" s="3" t="s">
        <v>1198</v>
      </c>
      <c r="C184" s="4" t="s">
        <v>197</v>
      </c>
      <c r="D184" s="4" t="s">
        <v>28</v>
      </c>
      <c r="E184" s="5" t="s">
        <v>6</v>
      </c>
      <c r="F184" s="6">
        <v>6.14</v>
      </c>
      <c r="G184" s="7" t="s">
        <v>922</v>
      </c>
      <c r="H184" s="1">
        <v>6.14</v>
      </c>
      <c r="I184" s="7" t="str">
        <f t="shared" si="2"/>
        <v>6,140</v>
      </c>
    </row>
    <row r="185" spans="1:9" x14ac:dyDescent="0.25">
      <c r="A185" s="7" t="s">
        <v>1314</v>
      </c>
      <c r="B185" s="3" t="s">
        <v>1199</v>
      </c>
      <c r="C185" s="4" t="s">
        <v>198</v>
      </c>
      <c r="D185" s="4" t="s">
        <v>28</v>
      </c>
      <c r="E185" s="5" t="s">
        <v>6</v>
      </c>
      <c r="F185" s="6">
        <v>6.14</v>
      </c>
      <c r="G185" s="7" t="s">
        <v>923</v>
      </c>
      <c r="H185" s="1">
        <v>6.14</v>
      </c>
      <c r="I185" s="7" t="str">
        <f t="shared" si="2"/>
        <v>6,140</v>
      </c>
    </row>
    <row r="186" spans="1:9" x14ac:dyDescent="0.25">
      <c r="A186" s="7" t="s">
        <v>1315</v>
      </c>
      <c r="B186" s="3" t="s">
        <v>1200</v>
      </c>
      <c r="C186" s="4" t="s">
        <v>199</v>
      </c>
      <c r="D186" s="4" t="s">
        <v>28</v>
      </c>
      <c r="E186" s="5" t="s">
        <v>6</v>
      </c>
      <c r="F186" s="6">
        <v>6.14</v>
      </c>
      <c r="G186" s="7" t="s">
        <v>924</v>
      </c>
      <c r="H186" s="1">
        <v>6.14</v>
      </c>
      <c r="I186" s="7" t="str">
        <f t="shared" si="2"/>
        <v>6,140</v>
      </c>
    </row>
    <row r="187" spans="1:9" x14ac:dyDescent="0.25">
      <c r="A187" s="7" t="s">
        <v>1316</v>
      </c>
      <c r="B187" s="3" t="s">
        <v>1201</v>
      </c>
      <c r="C187" s="4" t="s">
        <v>200</v>
      </c>
      <c r="D187" s="4" t="s">
        <v>28</v>
      </c>
      <c r="E187" s="5" t="s">
        <v>6</v>
      </c>
      <c r="F187" s="6">
        <v>6.14</v>
      </c>
      <c r="G187" s="7" t="s">
        <v>925</v>
      </c>
      <c r="H187" s="1">
        <v>6.14</v>
      </c>
      <c r="I187" s="7" t="str">
        <f t="shared" si="2"/>
        <v>6,140</v>
      </c>
    </row>
    <row r="188" spans="1:9" x14ac:dyDescent="0.25">
      <c r="A188" s="7" t="s">
        <v>1317</v>
      </c>
      <c r="B188" s="3" t="s">
        <v>1202</v>
      </c>
      <c r="C188" s="4" t="s">
        <v>201</v>
      </c>
      <c r="D188" s="4" t="s">
        <v>28</v>
      </c>
      <c r="E188" s="5" t="s">
        <v>6</v>
      </c>
      <c r="F188" s="6">
        <v>6.14</v>
      </c>
      <c r="G188" s="7" t="s">
        <v>926</v>
      </c>
      <c r="H188" s="1">
        <v>6.14</v>
      </c>
      <c r="I188" s="7" t="str">
        <f t="shared" si="2"/>
        <v>6,140</v>
      </c>
    </row>
    <row r="189" spans="1:9" x14ac:dyDescent="0.25">
      <c r="A189" s="7" t="s">
        <v>1318</v>
      </c>
      <c r="B189" s="3" t="s">
        <v>1203</v>
      </c>
      <c r="C189" s="4" t="s">
        <v>202</v>
      </c>
      <c r="D189" s="4" t="s">
        <v>28</v>
      </c>
      <c r="E189" s="5" t="s">
        <v>6</v>
      </c>
      <c r="F189" s="6">
        <v>8</v>
      </c>
      <c r="G189" s="7" t="s">
        <v>927</v>
      </c>
      <c r="H189" s="1">
        <v>8</v>
      </c>
      <c r="I189" s="7" t="str">
        <f t="shared" si="2"/>
        <v>8,000</v>
      </c>
    </row>
    <row r="190" spans="1:9" x14ac:dyDescent="0.25">
      <c r="A190" s="7" t="s">
        <v>1319</v>
      </c>
      <c r="B190" s="3" t="s">
        <v>1204</v>
      </c>
      <c r="C190" s="4" t="s">
        <v>203</v>
      </c>
      <c r="D190" s="4" t="s">
        <v>28</v>
      </c>
      <c r="E190" s="5" t="s">
        <v>6</v>
      </c>
      <c r="F190" s="6">
        <v>8</v>
      </c>
      <c r="G190" s="7" t="s">
        <v>928</v>
      </c>
      <c r="H190" s="1">
        <v>8</v>
      </c>
      <c r="I190" s="7" t="str">
        <f t="shared" si="2"/>
        <v>8,000</v>
      </c>
    </row>
    <row r="191" spans="1:9" x14ac:dyDescent="0.25">
      <c r="A191" s="7" t="s">
        <v>1320</v>
      </c>
      <c r="B191" s="3" t="s">
        <v>1205</v>
      </c>
      <c r="C191" s="4" t="s">
        <v>204</v>
      </c>
      <c r="D191" s="4" t="s">
        <v>28</v>
      </c>
      <c r="E191" s="5" t="s">
        <v>6</v>
      </c>
      <c r="F191" s="6">
        <v>9.56</v>
      </c>
      <c r="G191" s="7" t="s">
        <v>929</v>
      </c>
      <c r="H191" s="1">
        <v>9.56</v>
      </c>
      <c r="I191" s="7" t="str">
        <f t="shared" si="2"/>
        <v>9,560</v>
      </c>
    </row>
    <row r="192" spans="1:9" x14ac:dyDescent="0.25">
      <c r="A192" s="7" t="s">
        <v>1321</v>
      </c>
      <c r="B192" s="3" t="s">
        <v>1340</v>
      </c>
      <c r="C192" s="4" t="s">
        <v>205</v>
      </c>
      <c r="D192" s="4" t="s">
        <v>28</v>
      </c>
      <c r="E192" s="5" t="s">
        <v>6</v>
      </c>
      <c r="F192" s="6">
        <v>8.1999999999999993</v>
      </c>
      <c r="G192" s="7" t="s">
        <v>930</v>
      </c>
      <c r="H192" s="1">
        <v>8.1999999999999993</v>
      </c>
      <c r="I192" s="7" t="str">
        <f t="shared" si="2"/>
        <v>8,200</v>
      </c>
    </row>
    <row r="193" spans="1:9" x14ac:dyDescent="0.25">
      <c r="A193" s="7" t="s">
        <v>1322</v>
      </c>
      <c r="B193" s="3" t="s">
        <v>1206</v>
      </c>
      <c r="C193" s="4" t="s">
        <v>206</v>
      </c>
      <c r="D193" s="4" t="s">
        <v>28</v>
      </c>
      <c r="E193" s="5" t="s">
        <v>6</v>
      </c>
      <c r="F193" s="6">
        <v>8.1999999999999993</v>
      </c>
      <c r="G193" s="7" t="s">
        <v>931</v>
      </c>
      <c r="H193" s="1">
        <v>8.1999999999999993</v>
      </c>
      <c r="I193" s="7" t="str">
        <f t="shared" si="2"/>
        <v>8,200</v>
      </c>
    </row>
    <row r="194" spans="1:9" x14ac:dyDescent="0.25">
      <c r="A194" s="7" t="s">
        <v>1323</v>
      </c>
      <c r="B194" s="3" t="s">
        <v>1366</v>
      </c>
      <c r="C194" s="4" t="s">
        <v>207</v>
      </c>
      <c r="D194" s="4" t="s">
        <v>28</v>
      </c>
      <c r="E194" s="5" t="s">
        <v>60</v>
      </c>
      <c r="F194" s="6">
        <v>0</v>
      </c>
      <c r="G194" s="7" t="s">
        <v>932</v>
      </c>
      <c r="H194" s="1">
        <v>0</v>
      </c>
      <c r="I194" s="7" t="str">
        <f t="shared" ref="I194:I257" si="3">FIXED(H194,3)</f>
        <v>0,000</v>
      </c>
    </row>
    <row r="195" spans="1:9" x14ac:dyDescent="0.25">
      <c r="A195" s="7" t="s">
        <v>1324</v>
      </c>
      <c r="B195" s="3" t="s">
        <v>1292</v>
      </c>
      <c r="C195" s="4" t="s">
        <v>208</v>
      </c>
      <c r="D195" s="4" t="s">
        <v>28</v>
      </c>
      <c r="E195" s="5" t="s">
        <v>60</v>
      </c>
      <c r="F195" s="6">
        <v>0</v>
      </c>
      <c r="G195" s="7" t="s">
        <v>933</v>
      </c>
      <c r="H195" s="1">
        <v>0</v>
      </c>
      <c r="I195" s="7" t="str">
        <f t="shared" si="3"/>
        <v>0,000</v>
      </c>
    </row>
    <row r="196" spans="1:9" x14ac:dyDescent="0.25">
      <c r="A196" s="7" t="s">
        <v>1325</v>
      </c>
      <c r="B196" s="3" t="s">
        <v>1414</v>
      </c>
      <c r="C196" s="4" t="s">
        <v>209</v>
      </c>
      <c r="D196" s="4" t="s">
        <v>28</v>
      </c>
      <c r="E196" s="5" t="s">
        <v>60</v>
      </c>
      <c r="F196" s="6">
        <v>0</v>
      </c>
      <c r="G196" s="7" t="s">
        <v>934</v>
      </c>
      <c r="H196" s="1">
        <v>0</v>
      </c>
      <c r="I196" s="7" t="str">
        <f t="shared" si="3"/>
        <v>0,000</v>
      </c>
    </row>
    <row r="197" spans="1:9" x14ac:dyDescent="0.25">
      <c r="A197" s="7" t="s">
        <v>1326</v>
      </c>
      <c r="B197" s="3" t="s">
        <v>1207</v>
      </c>
      <c r="C197" s="4" t="s">
        <v>210</v>
      </c>
      <c r="D197" s="4" t="s">
        <v>28</v>
      </c>
      <c r="E197" s="5" t="s">
        <v>6</v>
      </c>
      <c r="F197" s="6">
        <v>1.7530839164264889E-2</v>
      </c>
      <c r="G197" s="7" t="s">
        <v>935</v>
      </c>
      <c r="H197" s="1">
        <v>1.7530839164264889E-2</v>
      </c>
      <c r="I197" s="7" t="str">
        <f t="shared" si="3"/>
        <v>0,018</v>
      </c>
    </row>
    <row r="198" spans="1:9" x14ac:dyDescent="0.25">
      <c r="A198" s="7" t="s">
        <v>1327</v>
      </c>
      <c r="B198" s="3" t="s">
        <v>1208</v>
      </c>
      <c r="C198" s="4" t="s">
        <v>211</v>
      </c>
      <c r="D198" s="4" t="s">
        <v>28</v>
      </c>
      <c r="E198" s="5" t="s">
        <v>6</v>
      </c>
      <c r="F198" s="6">
        <v>2.1913548955331114E-2</v>
      </c>
      <c r="G198" s="7" t="s">
        <v>936</v>
      </c>
      <c r="H198" s="1">
        <v>2.1913548955331114E-2</v>
      </c>
      <c r="I198" s="7" t="str">
        <f t="shared" si="3"/>
        <v>0,022</v>
      </c>
    </row>
    <row r="199" spans="1:9" x14ac:dyDescent="0.25">
      <c r="A199" s="7" t="s">
        <v>1328</v>
      </c>
      <c r="B199" s="3" t="s">
        <v>1298</v>
      </c>
      <c r="C199" s="4" t="s">
        <v>212</v>
      </c>
      <c r="D199" s="4" t="s">
        <v>28</v>
      </c>
      <c r="E199" s="5" t="s">
        <v>60</v>
      </c>
      <c r="F199" s="6">
        <v>2.1</v>
      </c>
      <c r="G199" s="7" t="s">
        <v>937</v>
      </c>
      <c r="H199" s="1">
        <v>2.1</v>
      </c>
      <c r="I199" s="7" t="str">
        <f t="shared" si="3"/>
        <v>2,100</v>
      </c>
    </row>
    <row r="200" spans="1:9" x14ac:dyDescent="0.25">
      <c r="A200" s="7" t="s">
        <v>1329</v>
      </c>
      <c r="B200" s="3" t="s">
        <v>1299</v>
      </c>
      <c r="C200" s="4" t="s">
        <v>213</v>
      </c>
      <c r="D200" s="4" t="s">
        <v>28</v>
      </c>
      <c r="E200" s="5" t="s">
        <v>60</v>
      </c>
      <c r="F200" s="6">
        <v>2.1</v>
      </c>
      <c r="G200" s="7" t="s">
        <v>938</v>
      </c>
      <c r="H200" s="1">
        <v>2.1</v>
      </c>
      <c r="I200" s="7" t="str">
        <f t="shared" si="3"/>
        <v>2,100</v>
      </c>
    </row>
    <row r="201" spans="1:9" x14ac:dyDescent="0.25">
      <c r="A201" s="7" t="s">
        <v>1330</v>
      </c>
      <c r="B201" s="3" t="s">
        <v>1300</v>
      </c>
      <c r="C201" s="4" t="s">
        <v>214</v>
      </c>
      <c r="D201" s="4" t="s">
        <v>28</v>
      </c>
      <c r="E201" s="5" t="s">
        <v>60</v>
      </c>
      <c r="F201" s="6">
        <v>2.1</v>
      </c>
      <c r="G201" s="7" t="s">
        <v>939</v>
      </c>
      <c r="H201" s="1">
        <v>2.1</v>
      </c>
      <c r="I201" s="7" t="str">
        <f t="shared" si="3"/>
        <v>2,100</v>
      </c>
    </row>
    <row r="202" spans="1:9" x14ac:dyDescent="0.25">
      <c r="A202" s="7" t="s">
        <v>1331</v>
      </c>
      <c r="B202" s="3" t="s">
        <v>1317</v>
      </c>
      <c r="C202" s="4" t="s">
        <v>215</v>
      </c>
      <c r="D202" s="4" t="s">
        <v>28</v>
      </c>
      <c r="E202" s="5" t="s">
        <v>60</v>
      </c>
      <c r="F202" s="6">
        <v>2.1</v>
      </c>
      <c r="G202" s="7" t="s">
        <v>940</v>
      </c>
      <c r="H202" s="1">
        <v>2.1</v>
      </c>
      <c r="I202" s="7" t="str">
        <f t="shared" si="3"/>
        <v>2,100</v>
      </c>
    </row>
    <row r="203" spans="1:9" x14ac:dyDescent="0.25">
      <c r="A203" s="7" t="s">
        <v>1332</v>
      </c>
      <c r="B203" s="3" t="s">
        <v>1511</v>
      </c>
      <c r="C203" s="7" t="s">
        <v>216</v>
      </c>
      <c r="D203" s="4" t="s">
        <v>28</v>
      </c>
      <c r="E203" s="5" t="s">
        <v>217</v>
      </c>
      <c r="F203" s="6" t="e">
        <f>309.12/10/#REF!</f>
        <v>#REF!</v>
      </c>
      <c r="G203" s="7" t="s">
        <v>941</v>
      </c>
      <c r="H203" s="1">
        <v>0.33599999999999997</v>
      </c>
      <c r="I203" s="7" t="str">
        <f t="shared" si="3"/>
        <v>0,336</v>
      </c>
    </row>
    <row r="204" spans="1:9" x14ac:dyDescent="0.25">
      <c r="A204" s="7" t="s">
        <v>1333</v>
      </c>
      <c r="B204" s="3" t="s">
        <v>1209</v>
      </c>
      <c r="C204" s="7" t="s">
        <v>218</v>
      </c>
      <c r="D204" s="4" t="s">
        <v>28</v>
      </c>
      <c r="E204" s="5" t="s">
        <v>6</v>
      </c>
      <c r="F204" s="6">
        <v>2.087004662412487E-2</v>
      </c>
      <c r="G204" s="7" t="s">
        <v>942</v>
      </c>
      <c r="H204" s="1">
        <v>2.087004662412487E-2</v>
      </c>
      <c r="I204" s="7" t="str">
        <f t="shared" si="3"/>
        <v>0,021</v>
      </c>
    </row>
    <row r="205" spans="1:9" x14ac:dyDescent="0.25">
      <c r="A205" s="7" t="s">
        <v>1334</v>
      </c>
      <c r="B205" s="3" t="s">
        <v>1210</v>
      </c>
      <c r="C205" s="7" t="s">
        <v>219</v>
      </c>
      <c r="D205" s="4" t="s">
        <v>28</v>
      </c>
      <c r="E205" s="5" t="s">
        <v>6</v>
      </c>
      <c r="F205" s="6" t="e">
        <f>69.62/#REF!</f>
        <v>#REF!</v>
      </c>
      <c r="G205" s="7" t="s">
        <v>943</v>
      </c>
      <c r="H205" s="1">
        <v>0.75673913043478269</v>
      </c>
      <c r="I205" s="7" t="str">
        <f t="shared" si="3"/>
        <v>0,757</v>
      </c>
    </row>
    <row r="206" spans="1:9" x14ac:dyDescent="0.25">
      <c r="A206" s="7" t="s">
        <v>1335</v>
      </c>
      <c r="B206" s="3" t="s">
        <v>1211</v>
      </c>
      <c r="C206" s="7" t="s">
        <v>220</v>
      </c>
      <c r="D206" s="4" t="s">
        <v>28</v>
      </c>
      <c r="E206" s="5" t="s">
        <v>6</v>
      </c>
      <c r="F206" s="6">
        <f>59.85/62.3</f>
        <v>0.9606741573033708</v>
      </c>
      <c r="G206" s="7" t="s">
        <v>944</v>
      </c>
      <c r="H206" s="1">
        <v>0.9606741573033708</v>
      </c>
      <c r="I206" s="7" t="str">
        <f t="shared" si="3"/>
        <v>0,961</v>
      </c>
    </row>
    <row r="207" spans="1:9" x14ac:dyDescent="0.25">
      <c r="A207" s="7" t="s">
        <v>1336</v>
      </c>
      <c r="B207" s="3" t="s">
        <v>1212</v>
      </c>
      <c r="C207" s="7" t="s">
        <v>221</v>
      </c>
      <c r="D207" s="4" t="s">
        <v>28</v>
      </c>
      <c r="E207" s="5" t="s">
        <v>6</v>
      </c>
      <c r="F207" s="6">
        <v>1.0554835770234989</v>
      </c>
      <c r="G207" s="7" t="s">
        <v>945</v>
      </c>
      <c r="H207" s="1">
        <v>1.0554835770234989</v>
      </c>
      <c r="I207" s="7" t="str">
        <f t="shared" si="3"/>
        <v>1,055</v>
      </c>
    </row>
    <row r="208" spans="1:9" x14ac:dyDescent="0.25">
      <c r="A208" s="7" t="s">
        <v>1337</v>
      </c>
      <c r="B208" s="3" t="s">
        <v>1288</v>
      </c>
      <c r="C208" s="7" t="s">
        <v>222</v>
      </c>
      <c r="D208" s="4" t="s">
        <v>28</v>
      </c>
      <c r="E208" s="5" t="s">
        <v>6</v>
      </c>
      <c r="F208" s="6" t="e">
        <f>142.74/#REF!</f>
        <v>#REF!</v>
      </c>
      <c r="G208" s="7" t="s">
        <v>946</v>
      </c>
      <c r="H208" s="1">
        <v>1.5515217391304348</v>
      </c>
      <c r="I208" s="7" t="str">
        <f t="shared" si="3"/>
        <v>1,552</v>
      </c>
    </row>
    <row r="209" spans="1:9" x14ac:dyDescent="0.25">
      <c r="A209" s="7" t="s">
        <v>1338</v>
      </c>
      <c r="B209" s="3" t="s">
        <v>1213</v>
      </c>
      <c r="C209" s="7" t="s">
        <v>223</v>
      </c>
      <c r="D209" s="4" t="s">
        <v>28</v>
      </c>
      <c r="E209" s="5" t="s">
        <v>217</v>
      </c>
      <c r="F209" s="6" t="e">
        <f>375.36/10/#REF!</f>
        <v>#REF!</v>
      </c>
      <c r="G209" s="7" t="s">
        <v>947</v>
      </c>
      <c r="H209" s="1">
        <v>0.40800000000000003</v>
      </c>
      <c r="I209" s="7" t="str">
        <f t="shared" si="3"/>
        <v>0,408</v>
      </c>
    </row>
    <row r="210" spans="1:9" x14ac:dyDescent="0.25">
      <c r="A210" s="7" t="s">
        <v>1339</v>
      </c>
      <c r="B210" s="3" t="s">
        <v>1289</v>
      </c>
      <c r="C210" s="7" t="s">
        <v>224</v>
      </c>
      <c r="D210" s="4" t="s">
        <v>28</v>
      </c>
      <c r="E210" s="5" t="s">
        <v>60</v>
      </c>
      <c r="F210" s="6">
        <v>2.9295</v>
      </c>
      <c r="G210" s="7" t="s">
        <v>948</v>
      </c>
      <c r="H210" s="1">
        <v>2.9295</v>
      </c>
      <c r="I210" s="7" t="str">
        <f t="shared" si="3"/>
        <v>2,930</v>
      </c>
    </row>
    <row r="211" spans="1:9" x14ac:dyDescent="0.25">
      <c r="A211" s="7" t="s">
        <v>1340</v>
      </c>
      <c r="B211" s="3" t="s">
        <v>1485</v>
      </c>
      <c r="C211" s="7" t="s">
        <v>224</v>
      </c>
      <c r="D211" s="4" t="s">
        <v>28</v>
      </c>
      <c r="E211" s="5" t="s">
        <v>6</v>
      </c>
      <c r="F211" s="6">
        <v>1.5815384615384616</v>
      </c>
      <c r="G211" s="7" t="s">
        <v>949</v>
      </c>
      <c r="H211" s="1">
        <v>1.5815384615384616</v>
      </c>
      <c r="I211" s="7" t="str">
        <f t="shared" si="3"/>
        <v>1,582</v>
      </c>
    </row>
    <row r="212" spans="1:9" x14ac:dyDescent="0.25">
      <c r="A212" s="7" t="s">
        <v>1341</v>
      </c>
      <c r="B212" s="3" t="s">
        <v>1424</v>
      </c>
      <c r="C212" s="7" t="s">
        <v>225</v>
      </c>
      <c r="D212" s="4" t="s">
        <v>28</v>
      </c>
      <c r="E212" s="5" t="s">
        <v>6</v>
      </c>
      <c r="F212" s="6">
        <v>1.5815384615384616</v>
      </c>
      <c r="G212" s="7" t="s">
        <v>950</v>
      </c>
      <c r="H212" s="1">
        <v>1.5815384615384616</v>
      </c>
      <c r="I212" s="7" t="str">
        <f t="shared" si="3"/>
        <v>1,582</v>
      </c>
    </row>
    <row r="213" spans="1:9" x14ac:dyDescent="0.25">
      <c r="A213" s="7" t="s">
        <v>1342</v>
      </c>
      <c r="B213" s="3" t="s">
        <v>1512</v>
      </c>
      <c r="C213" s="4" t="s">
        <v>226</v>
      </c>
      <c r="D213" s="4" t="s">
        <v>28</v>
      </c>
      <c r="E213" s="5" t="s">
        <v>217</v>
      </c>
      <c r="F213" s="6" t="e">
        <f>301.48/5/#REF!</f>
        <v>#REF!</v>
      </c>
      <c r="G213" s="7" t="s">
        <v>951</v>
      </c>
      <c r="H213" s="1">
        <v>0.65539130434782611</v>
      </c>
      <c r="I213" s="7" t="str">
        <f t="shared" si="3"/>
        <v>0,655</v>
      </c>
    </row>
    <row r="214" spans="1:9" x14ac:dyDescent="0.25">
      <c r="A214" s="7" t="s">
        <v>1343</v>
      </c>
      <c r="B214" s="3" t="s">
        <v>1381</v>
      </c>
      <c r="C214" s="4" t="s">
        <v>227</v>
      </c>
      <c r="D214" s="4" t="s">
        <v>28</v>
      </c>
      <c r="E214" s="5" t="s">
        <v>6</v>
      </c>
      <c r="F214" s="6">
        <f>1.2*1.15</f>
        <v>1.38</v>
      </c>
      <c r="G214" s="7" t="s">
        <v>952</v>
      </c>
      <c r="H214" s="1">
        <v>1.38</v>
      </c>
      <c r="I214" s="7" t="str">
        <f t="shared" si="3"/>
        <v>1,380</v>
      </c>
    </row>
    <row r="215" spans="1:9" x14ac:dyDescent="0.25">
      <c r="A215" s="7" t="s">
        <v>1344</v>
      </c>
      <c r="B215" s="3" t="s">
        <v>1382</v>
      </c>
      <c r="C215" s="4" t="s">
        <v>228</v>
      </c>
      <c r="D215" s="4" t="s">
        <v>28</v>
      </c>
      <c r="E215" s="5" t="s">
        <v>6</v>
      </c>
      <c r="F215" s="6">
        <f>1.14*1.15</f>
        <v>1.3109999999999997</v>
      </c>
      <c r="G215" s="7" t="s">
        <v>953</v>
      </c>
      <c r="H215" s="1">
        <v>1.3109999999999997</v>
      </c>
      <c r="I215" s="7" t="str">
        <f t="shared" si="3"/>
        <v>1,311</v>
      </c>
    </row>
    <row r="216" spans="1:9" x14ac:dyDescent="0.25">
      <c r="A216" s="7" t="s">
        <v>1345</v>
      </c>
      <c r="B216" s="3" t="s">
        <v>1383</v>
      </c>
      <c r="C216" s="4" t="s">
        <v>229</v>
      </c>
      <c r="D216" s="4" t="s">
        <v>28</v>
      </c>
      <c r="E216" s="5" t="s">
        <v>217</v>
      </c>
      <c r="F216" s="6" t="e">
        <f>642.03/10/#REF!</f>
        <v>#REF!</v>
      </c>
      <c r="G216" s="7" t="s">
        <v>954</v>
      </c>
      <c r="H216" s="1">
        <v>0.69785869565217395</v>
      </c>
      <c r="I216" s="7" t="str">
        <f t="shared" si="3"/>
        <v>0,698</v>
      </c>
    </row>
    <row r="217" spans="1:9" x14ac:dyDescent="0.25">
      <c r="A217" s="7" t="s">
        <v>1346</v>
      </c>
      <c r="B217" s="3" t="s">
        <v>1384</v>
      </c>
      <c r="C217" s="4" t="s">
        <v>230</v>
      </c>
      <c r="D217" s="4" t="s">
        <v>28</v>
      </c>
      <c r="E217" s="5" t="s">
        <v>6</v>
      </c>
      <c r="F217" s="6">
        <f>1.3*1.15</f>
        <v>1.4949999999999999</v>
      </c>
      <c r="G217" s="7" t="s">
        <v>955</v>
      </c>
      <c r="H217" s="1">
        <v>1.4949999999999999</v>
      </c>
      <c r="I217" s="7" t="str">
        <f t="shared" si="3"/>
        <v>1,495</v>
      </c>
    </row>
    <row r="218" spans="1:9" x14ac:dyDescent="0.25">
      <c r="A218" s="7" t="s">
        <v>1347</v>
      </c>
      <c r="B218" s="3" t="s">
        <v>1214</v>
      </c>
      <c r="C218" s="4" t="s">
        <v>231</v>
      </c>
      <c r="D218" s="4" t="s">
        <v>28</v>
      </c>
      <c r="E218" s="5" t="s">
        <v>217</v>
      </c>
      <c r="F218" s="6" t="e">
        <f>303.18/5/#REF!</f>
        <v>#REF!</v>
      </c>
      <c r="G218" s="7" t="s">
        <v>956</v>
      </c>
      <c r="H218" s="1">
        <v>0.65908695652173921</v>
      </c>
      <c r="I218" s="7" t="str">
        <f t="shared" si="3"/>
        <v>0,659</v>
      </c>
    </row>
    <row r="219" spans="1:9" x14ac:dyDescent="0.25">
      <c r="A219" s="7" t="s">
        <v>1348</v>
      </c>
      <c r="B219" s="3" t="s">
        <v>1215</v>
      </c>
      <c r="C219" s="4" t="s">
        <v>232</v>
      </c>
      <c r="D219" s="4" t="s">
        <v>28</v>
      </c>
      <c r="E219" s="5" t="s">
        <v>217</v>
      </c>
      <c r="F219" s="6" t="e">
        <f>678.54/10/#REF!</f>
        <v>#REF!</v>
      </c>
      <c r="G219" s="7" t="s">
        <v>957</v>
      </c>
      <c r="H219" s="1">
        <v>0.73754347826086952</v>
      </c>
      <c r="I219" s="7" t="str">
        <f t="shared" si="3"/>
        <v>0,738</v>
      </c>
    </row>
    <row r="220" spans="1:9" x14ac:dyDescent="0.25">
      <c r="A220" s="7" t="s">
        <v>1349</v>
      </c>
      <c r="B220" s="3" t="s">
        <v>1216</v>
      </c>
      <c r="C220" s="4" t="s">
        <v>233</v>
      </c>
      <c r="D220" s="4" t="s">
        <v>28</v>
      </c>
      <c r="E220" s="5" t="s">
        <v>60</v>
      </c>
      <c r="F220" s="6">
        <v>5.1496840045028112</v>
      </c>
      <c r="G220" s="7" t="s">
        <v>958</v>
      </c>
      <c r="H220" s="1">
        <v>5.1496840045028112</v>
      </c>
      <c r="I220" s="7" t="str">
        <f t="shared" si="3"/>
        <v>5,150</v>
      </c>
    </row>
    <row r="221" spans="1:9" x14ac:dyDescent="0.25">
      <c r="A221" s="7" t="s">
        <v>1350</v>
      </c>
      <c r="B221" s="3" t="s">
        <v>1217</v>
      </c>
      <c r="C221" s="4" t="s">
        <v>234</v>
      </c>
      <c r="D221" s="4" t="s">
        <v>28</v>
      </c>
      <c r="E221" s="5" t="s">
        <v>60</v>
      </c>
      <c r="F221" s="6">
        <v>0.76649999999999996</v>
      </c>
      <c r="G221" s="7" t="s">
        <v>959</v>
      </c>
      <c r="H221" s="1">
        <v>0.76649999999999996</v>
      </c>
      <c r="I221" s="7" t="str">
        <f t="shared" si="3"/>
        <v>0,767</v>
      </c>
    </row>
    <row r="222" spans="1:9" x14ac:dyDescent="0.25">
      <c r="A222" s="7" t="s">
        <v>1351</v>
      </c>
      <c r="B222" s="3" t="s">
        <v>1218</v>
      </c>
      <c r="C222" s="4" t="s">
        <v>235</v>
      </c>
      <c r="D222" s="4" t="s">
        <v>28</v>
      </c>
      <c r="E222" s="5" t="s">
        <v>60</v>
      </c>
      <c r="F222" s="6">
        <v>1.7530839164264889</v>
      </c>
      <c r="G222" s="7" t="s">
        <v>960</v>
      </c>
      <c r="H222" s="1">
        <v>1.7530839164264889</v>
      </c>
      <c r="I222" s="7" t="str">
        <f t="shared" si="3"/>
        <v>1,753</v>
      </c>
    </row>
    <row r="223" spans="1:9" x14ac:dyDescent="0.25">
      <c r="A223" s="7" t="s">
        <v>1352</v>
      </c>
      <c r="B223" s="3" t="s">
        <v>1407</v>
      </c>
      <c r="C223" s="4" t="s">
        <v>236</v>
      </c>
      <c r="D223" s="4" t="s">
        <v>28</v>
      </c>
      <c r="E223" s="5" t="s">
        <v>91</v>
      </c>
      <c r="F223" s="6">
        <f>75.51/85</f>
        <v>0.88835294117647068</v>
      </c>
      <c r="G223" s="7" t="s">
        <v>961</v>
      </c>
      <c r="H223" s="1">
        <v>0.88835294117647068</v>
      </c>
      <c r="I223" s="7" t="str">
        <f t="shared" si="3"/>
        <v>0,888</v>
      </c>
    </row>
    <row r="224" spans="1:9" x14ac:dyDescent="0.25">
      <c r="A224" s="7" t="s">
        <v>1353</v>
      </c>
      <c r="B224" s="3" t="s">
        <v>1510</v>
      </c>
      <c r="C224" s="4" t="s">
        <v>237</v>
      </c>
      <c r="D224" s="4" t="s">
        <v>28</v>
      </c>
      <c r="E224" s="5" t="s">
        <v>91</v>
      </c>
      <c r="F224" s="6">
        <f>67.96/85</f>
        <v>0.79952941176470582</v>
      </c>
      <c r="G224" s="7" t="s">
        <v>962</v>
      </c>
      <c r="H224" s="1">
        <v>0.79952941176470582</v>
      </c>
      <c r="I224" s="7" t="str">
        <f t="shared" si="3"/>
        <v>0,800</v>
      </c>
    </row>
    <row r="225" spans="1:9" x14ac:dyDescent="0.25">
      <c r="A225" s="7" t="s">
        <v>1354</v>
      </c>
      <c r="B225" s="3" t="s">
        <v>1309</v>
      </c>
      <c r="C225" s="4" t="s">
        <v>238</v>
      </c>
      <c r="D225" s="4" t="s">
        <v>28</v>
      </c>
      <c r="E225" s="5" t="s">
        <v>91</v>
      </c>
      <c r="F225" s="6">
        <f>57.89/85</f>
        <v>0.68105882352941172</v>
      </c>
      <c r="G225" s="7" t="s">
        <v>963</v>
      </c>
      <c r="H225" s="1">
        <v>0.68105882352941172</v>
      </c>
      <c r="I225" s="7" t="str">
        <f t="shared" si="3"/>
        <v>0,681</v>
      </c>
    </row>
    <row r="226" spans="1:9" x14ac:dyDescent="0.25">
      <c r="A226" s="7" t="s">
        <v>1355</v>
      </c>
      <c r="B226" s="3" t="s">
        <v>1405</v>
      </c>
      <c r="C226" s="4" t="s">
        <v>239</v>
      </c>
      <c r="D226" s="4" t="s">
        <v>28</v>
      </c>
      <c r="E226" s="5" t="s">
        <v>6</v>
      </c>
      <c r="F226" s="6">
        <v>2.65</v>
      </c>
      <c r="G226" s="7" t="s">
        <v>964</v>
      </c>
      <c r="H226" s="1">
        <v>2.65</v>
      </c>
      <c r="I226" s="7" t="str">
        <f t="shared" si="3"/>
        <v>2,650</v>
      </c>
    </row>
    <row r="227" spans="1:9" x14ac:dyDescent="0.25">
      <c r="A227" s="7" t="s">
        <v>1356</v>
      </c>
      <c r="B227" s="3" t="s">
        <v>1332</v>
      </c>
      <c r="C227" s="4" t="s">
        <v>240</v>
      </c>
      <c r="D227" s="4" t="s">
        <v>28</v>
      </c>
      <c r="E227" s="5" t="s">
        <v>60</v>
      </c>
      <c r="F227" s="6">
        <v>0.54545454545454541</v>
      </c>
      <c r="G227" s="7" t="s">
        <v>965</v>
      </c>
      <c r="H227" s="1">
        <v>0.54545454545454541</v>
      </c>
      <c r="I227" s="7" t="str">
        <f t="shared" si="3"/>
        <v>0,545</v>
      </c>
    </row>
    <row r="228" spans="1:9" x14ac:dyDescent="0.25">
      <c r="A228" s="7" t="s">
        <v>1357</v>
      </c>
      <c r="B228" s="3" t="s">
        <v>1219</v>
      </c>
      <c r="C228" s="4" t="s">
        <v>241</v>
      </c>
      <c r="D228" s="4" t="s">
        <v>28</v>
      </c>
      <c r="E228" s="5" t="s">
        <v>60</v>
      </c>
      <c r="F228" s="6">
        <v>1.3148129373198667</v>
      </c>
      <c r="G228" s="7" t="s">
        <v>966</v>
      </c>
      <c r="H228" s="1">
        <v>1.3148129373198667</v>
      </c>
      <c r="I228" s="7" t="str">
        <f t="shared" si="3"/>
        <v>1,315</v>
      </c>
    </row>
    <row r="229" spans="1:9" x14ac:dyDescent="0.25">
      <c r="A229" s="7" t="s">
        <v>1358</v>
      </c>
      <c r="B229" s="3" t="s">
        <v>1220</v>
      </c>
      <c r="C229" s="4" t="s">
        <v>242</v>
      </c>
      <c r="D229" s="4" t="s">
        <v>28</v>
      </c>
      <c r="E229" s="5" t="s">
        <v>60</v>
      </c>
      <c r="F229" s="6">
        <v>4.3827097910662225</v>
      </c>
      <c r="G229" s="7" t="s">
        <v>967</v>
      </c>
      <c r="H229" s="1">
        <v>4.3827097910662225</v>
      </c>
      <c r="I229" s="7" t="str">
        <f t="shared" si="3"/>
        <v>4,383</v>
      </c>
    </row>
    <row r="230" spans="1:9" x14ac:dyDescent="0.25">
      <c r="A230" s="7" t="s">
        <v>1359</v>
      </c>
      <c r="B230" s="3" t="s">
        <v>1221</v>
      </c>
      <c r="C230" s="4" t="s">
        <v>243</v>
      </c>
      <c r="D230" s="4" t="s">
        <v>28</v>
      </c>
      <c r="E230" s="5" t="s">
        <v>60</v>
      </c>
      <c r="F230" s="6">
        <v>3.9444388119596003</v>
      </c>
      <c r="G230" s="7" t="s">
        <v>968</v>
      </c>
      <c r="H230" s="1">
        <v>3.9444388119596003</v>
      </c>
      <c r="I230" s="7" t="str">
        <f t="shared" si="3"/>
        <v>3,944</v>
      </c>
    </row>
    <row r="231" spans="1:9" x14ac:dyDescent="0.25">
      <c r="A231" s="7" t="s">
        <v>1360</v>
      </c>
      <c r="B231" s="3" t="s">
        <v>1508</v>
      </c>
      <c r="C231" s="4" t="s">
        <v>244</v>
      </c>
      <c r="D231" s="4" t="s">
        <v>28</v>
      </c>
      <c r="E231" s="5" t="s">
        <v>113</v>
      </c>
      <c r="F231" s="73">
        <v>3.4335</v>
      </c>
      <c r="G231" s="7" t="s">
        <v>969</v>
      </c>
      <c r="H231" s="1">
        <v>3.4335</v>
      </c>
      <c r="I231" s="7" t="str">
        <f t="shared" si="3"/>
        <v>3,434</v>
      </c>
    </row>
    <row r="232" spans="1:9" x14ac:dyDescent="0.25">
      <c r="A232" s="7" t="s">
        <v>1361</v>
      </c>
      <c r="B232" s="3" t="s">
        <v>1222</v>
      </c>
      <c r="C232" s="4" t="s">
        <v>245</v>
      </c>
      <c r="D232" s="4" t="s">
        <v>28</v>
      </c>
      <c r="E232" s="5" t="s">
        <v>6</v>
      </c>
      <c r="F232" s="6">
        <v>1.439295039164491</v>
      </c>
      <c r="G232" s="7" t="s">
        <v>970</v>
      </c>
      <c r="H232" s="1">
        <v>1.439295039164491</v>
      </c>
      <c r="I232" s="7" t="str">
        <f t="shared" si="3"/>
        <v>1,439</v>
      </c>
    </row>
    <row r="233" spans="1:9" x14ac:dyDescent="0.25">
      <c r="A233" s="7" t="s">
        <v>1362</v>
      </c>
      <c r="B233" s="3" t="s">
        <v>1379</v>
      </c>
      <c r="C233" s="4" t="s">
        <v>246</v>
      </c>
      <c r="D233" s="4" t="s">
        <v>28</v>
      </c>
      <c r="E233" s="5" t="s">
        <v>6</v>
      </c>
      <c r="F233" s="6" t="e">
        <f>267.79/#REF!</f>
        <v>#REF!</v>
      </c>
      <c r="G233" s="7" t="s">
        <v>971</v>
      </c>
      <c r="H233" s="1">
        <v>2.9107608695652174</v>
      </c>
      <c r="I233" s="7" t="str">
        <f t="shared" si="3"/>
        <v>2,911</v>
      </c>
    </row>
    <row r="234" spans="1:9" x14ac:dyDescent="0.25">
      <c r="A234" s="7" t="s">
        <v>1363</v>
      </c>
      <c r="B234" s="3" t="s">
        <v>1491</v>
      </c>
      <c r="C234" s="4" t="s">
        <v>247</v>
      </c>
      <c r="D234" s="4" t="s">
        <v>28</v>
      </c>
      <c r="E234" s="5" t="s">
        <v>6</v>
      </c>
      <c r="F234" s="6">
        <v>2.5633153785900786</v>
      </c>
      <c r="G234" s="7" t="s">
        <v>972</v>
      </c>
      <c r="H234" s="1">
        <v>2.5633153785900786</v>
      </c>
      <c r="I234" s="7" t="str">
        <f t="shared" si="3"/>
        <v>2,563</v>
      </c>
    </row>
    <row r="235" spans="1:9" x14ac:dyDescent="0.25">
      <c r="A235" s="7" t="s">
        <v>1364</v>
      </c>
      <c r="B235" s="3" t="s">
        <v>1358</v>
      </c>
      <c r="C235" s="4" t="s">
        <v>248</v>
      </c>
      <c r="D235" s="4" t="s">
        <v>28</v>
      </c>
      <c r="E235" s="5" t="s">
        <v>60</v>
      </c>
      <c r="F235" s="6">
        <v>12</v>
      </c>
      <c r="G235" s="7" t="s">
        <v>973</v>
      </c>
      <c r="H235" s="1">
        <v>12</v>
      </c>
      <c r="I235" s="7" t="str">
        <f t="shared" si="3"/>
        <v>12,000</v>
      </c>
    </row>
    <row r="236" spans="1:9" x14ac:dyDescent="0.25">
      <c r="A236" s="7" t="s">
        <v>1365</v>
      </c>
      <c r="B236" s="3" t="s">
        <v>1396</v>
      </c>
      <c r="C236" s="4" t="s">
        <v>249</v>
      </c>
      <c r="D236" s="4" t="s">
        <v>28</v>
      </c>
      <c r="E236" s="5" t="s">
        <v>6</v>
      </c>
      <c r="F236" s="6" t="e">
        <f>475/#REF!</f>
        <v>#REF!</v>
      </c>
      <c r="G236" s="7" t="s">
        <v>974</v>
      </c>
      <c r="H236" s="1">
        <v>5.1630434782608692</v>
      </c>
      <c r="I236" s="7" t="str">
        <f t="shared" si="3"/>
        <v>5,163</v>
      </c>
    </row>
    <row r="237" spans="1:9" x14ac:dyDescent="0.25">
      <c r="A237" s="7" t="s">
        <v>1366</v>
      </c>
      <c r="B237" s="3" t="s">
        <v>1183</v>
      </c>
      <c r="C237" s="4" t="s">
        <v>250</v>
      </c>
      <c r="D237" s="4" t="s">
        <v>28</v>
      </c>
      <c r="E237" s="5" t="s">
        <v>6</v>
      </c>
      <c r="F237" s="6">
        <v>0.44361126760563202</v>
      </c>
      <c r="G237" s="7" t="s">
        <v>975</v>
      </c>
      <c r="H237" s="1">
        <v>0.44361126760563202</v>
      </c>
      <c r="I237" s="7" t="str">
        <f t="shared" si="3"/>
        <v>0,444</v>
      </c>
    </row>
    <row r="238" spans="1:9" x14ac:dyDescent="0.25">
      <c r="A238" s="7" t="s">
        <v>1367</v>
      </c>
      <c r="B238" s="3" t="s">
        <v>1471</v>
      </c>
      <c r="C238" s="4" t="s">
        <v>251</v>
      </c>
      <c r="D238" s="4" t="s">
        <v>28</v>
      </c>
      <c r="E238" s="5" t="s">
        <v>6</v>
      </c>
      <c r="F238" s="6">
        <f>138.52/68</f>
        <v>2.0370588235294118</v>
      </c>
      <c r="G238" s="7" t="s">
        <v>976</v>
      </c>
      <c r="H238" s="1">
        <v>2.0370588235294118</v>
      </c>
      <c r="I238" s="7" t="str">
        <f t="shared" si="3"/>
        <v>2,037</v>
      </c>
    </row>
    <row r="239" spans="1:9" x14ac:dyDescent="0.25">
      <c r="A239" s="7" t="s">
        <v>1368</v>
      </c>
      <c r="B239" s="3" t="s">
        <v>1397</v>
      </c>
      <c r="C239" s="4" t="s">
        <v>252</v>
      </c>
      <c r="D239" s="4" t="s">
        <v>28</v>
      </c>
      <c r="E239" s="5" t="s">
        <v>6</v>
      </c>
      <c r="F239" s="6" t="e">
        <f>455.72/#REF!</f>
        <v>#REF!</v>
      </c>
      <c r="G239" s="7" t="s">
        <v>977</v>
      </c>
      <c r="H239" s="1">
        <v>4.9534782608695656</v>
      </c>
      <c r="I239" s="7" t="str">
        <f t="shared" si="3"/>
        <v>4,953</v>
      </c>
    </row>
    <row r="240" spans="1:9" x14ac:dyDescent="0.25">
      <c r="A240" s="7" t="s">
        <v>1369</v>
      </c>
      <c r="B240" s="3" t="s">
        <v>1486</v>
      </c>
      <c r="C240" s="4" t="s">
        <v>253</v>
      </c>
      <c r="D240" s="4" t="s">
        <v>28</v>
      </c>
      <c r="E240" s="5" t="s">
        <v>6</v>
      </c>
      <c r="F240" s="6">
        <f>745.5/62.3</f>
        <v>11.966292134831461</v>
      </c>
      <c r="G240" s="7" t="s">
        <v>978</v>
      </c>
      <c r="H240" s="1">
        <v>11.966292134831461</v>
      </c>
      <c r="I240" s="7" t="str">
        <f t="shared" si="3"/>
        <v>11,966</v>
      </c>
    </row>
    <row r="241" spans="1:9" x14ac:dyDescent="0.25">
      <c r="A241" s="7" t="s">
        <v>1370</v>
      </c>
      <c r="B241" s="3" t="s">
        <v>1223</v>
      </c>
      <c r="C241" s="4" t="s">
        <v>254</v>
      </c>
      <c r="D241" s="4" t="s">
        <v>28</v>
      </c>
      <c r="E241" s="5" t="s">
        <v>6</v>
      </c>
      <c r="F241" s="6">
        <v>1.08897413686425</v>
      </c>
      <c r="G241" s="7" t="s">
        <v>979</v>
      </c>
      <c r="H241" s="1">
        <v>1.08897413686425</v>
      </c>
      <c r="I241" s="7" t="str">
        <f t="shared" si="3"/>
        <v>1,089</v>
      </c>
    </row>
    <row r="242" spans="1:9" x14ac:dyDescent="0.25">
      <c r="A242" s="7" t="s">
        <v>1371</v>
      </c>
      <c r="B242" s="3" t="s">
        <v>1372</v>
      </c>
      <c r="C242" s="4" t="s">
        <v>255</v>
      </c>
      <c r="D242" s="4" t="s">
        <v>28</v>
      </c>
      <c r="E242" s="5" t="s">
        <v>6</v>
      </c>
      <c r="F242" s="6">
        <f>1.08897413686425*5</f>
        <v>5.4448706843212502</v>
      </c>
      <c r="G242" s="7" t="s">
        <v>980</v>
      </c>
      <c r="H242" s="1">
        <v>5.4448706843212502</v>
      </c>
      <c r="I242" s="7" t="str">
        <f t="shared" si="3"/>
        <v>5,445</v>
      </c>
    </row>
    <row r="243" spans="1:9" x14ac:dyDescent="0.25">
      <c r="A243" s="7" t="s">
        <v>1372</v>
      </c>
      <c r="B243" s="3" t="s">
        <v>1354</v>
      </c>
      <c r="C243" s="4" t="s">
        <v>256</v>
      </c>
      <c r="D243" s="4" t="s">
        <v>28</v>
      </c>
      <c r="E243" s="5" t="s">
        <v>6</v>
      </c>
      <c r="F243" s="6">
        <v>9.8997648805840868</v>
      </c>
      <c r="G243" s="7" t="s">
        <v>981</v>
      </c>
      <c r="H243" s="1">
        <v>9.8997648805840868</v>
      </c>
      <c r="I243" s="7" t="str">
        <f t="shared" si="3"/>
        <v>9,900</v>
      </c>
    </row>
    <row r="244" spans="1:9" x14ac:dyDescent="0.25">
      <c r="A244" s="7" t="s">
        <v>1373</v>
      </c>
      <c r="B244" s="3" t="s">
        <v>1337</v>
      </c>
      <c r="C244" s="4" t="s">
        <v>257</v>
      </c>
      <c r="D244" s="4" t="s">
        <v>28</v>
      </c>
      <c r="E244" s="5" t="s">
        <v>6</v>
      </c>
      <c r="F244" s="6">
        <v>2.33</v>
      </c>
      <c r="G244" s="7" t="s">
        <v>982</v>
      </c>
      <c r="H244" s="1">
        <v>2.33</v>
      </c>
      <c r="I244" s="7" t="str">
        <f t="shared" si="3"/>
        <v>2,330</v>
      </c>
    </row>
    <row r="245" spans="1:9" x14ac:dyDescent="0.25">
      <c r="A245" s="7" t="s">
        <v>1374</v>
      </c>
      <c r="B245" s="3" t="s">
        <v>1500</v>
      </c>
      <c r="C245" s="4" t="s">
        <v>258</v>
      </c>
      <c r="D245" s="4" t="s">
        <v>28</v>
      </c>
      <c r="E245" s="5" t="s">
        <v>6</v>
      </c>
      <c r="F245" s="6">
        <v>12.816580182767625</v>
      </c>
      <c r="G245" s="7" t="s">
        <v>983</v>
      </c>
      <c r="H245" s="1">
        <v>12.816580182767625</v>
      </c>
      <c r="I245" s="7" t="str">
        <f t="shared" si="3"/>
        <v>12,817</v>
      </c>
    </row>
    <row r="246" spans="1:9" x14ac:dyDescent="0.25">
      <c r="A246" s="7" t="s">
        <v>1375</v>
      </c>
      <c r="B246" s="66" t="s">
        <v>1516</v>
      </c>
      <c r="C246" s="4" t="s">
        <v>259</v>
      </c>
      <c r="D246" s="4" t="s">
        <v>28</v>
      </c>
      <c r="E246" s="67" t="s">
        <v>106</v>
      </c>
      <c r="F246" s="73" t="e">
        <f>#REF!/#REF!</f>
        <v>#REF!</v>
      </c>
      <c r="G246" s="7" t="s">
        <v>984</v>
      </c>
      <c r="H246" s="1">
        <v>5.9130434782608692</v>
      </c>
      <c r="I246" s="7" t="str">
        <f t="shared" si="3"/>
        <v>5,913</v>
      </c>
    </row>
    <row r="247" spans="1:9" x14ac:dyDescent="0.25">
      <c r="A247" s="7" t="s">
        <v>1376</v>
      </c>
      <c r="B247" s="3" t="s">
        <v>1224</v>
      </c>
      <c r="C247" s="4" t="s">
        <v>260</v>
      </c>
      <c r="D247" s="4" t="s">
        <v>28</v>
      </c>
      <c r="E247" s="5" t="s">
        <v>6</v>
      </c>
      <c r="F247" s="6">
        <v>0.69298354164088605</v>
      </c>
      <c r="G247" s="7" t="s">
        <v>985</v>
      </c>
      <c r="H247" s="1">
        <v>0.69298354164088605</v>
      </c>
      <c r="I247" s="7" t="str">
        <f t="shared" si="3"/>
        <v>0,693</v>
      </c>
    </row>
    <row r="248" spans="1:9" x14ac:dyDescent="0.25">
      <c r="A248" s="7" t="s">
        <v>1377</v>
      </c>
      <c r="B248" s="3" t="s">
        <v>1225</v>
      </c>
      <c r="C248" s="4" t="s">
        <v>261</v>
      </c>
      <c r="D248" s="4" t="s">
        <v>28</v>
      </c>
      <c r="E248" s="5" t="s">
        <v>6</v>
      </c>
      <c r="F248" s="6">
        <f>0.692983541640886*5</f>
        <v>3.46491770820443</v>
      </c>
      <c r="G248" s="7" t="s">
        <v>986</v>
      </c>
      <c r="H248" s="1">
        <v>3.46491770820443</v>
      </c>
      <c r="I248" s="7" t="str">
        <f t="shared" si="3"/>
        <v>3,465</v>
      </c>
    </row>
    <row r="249" spans="1:9" x14ac:dyDescent="0.25">
      <c r="A249" s="7" t="s">
        <v>1378</v>
      </c>
      <c r="B249" s="3" t="s">
        <v>1356</v>
      </c>
      <c r="C249" s="4" t="s">
        <v>262</v>
      </c>
      <c r="D249" s="4" t="s">
        <v>28</v>
      </c>
      <c r="E249" s="5" t="s">
        <v>6</v>
      </c>
      <c r="F249" s="6">
        <v>1.2374706100730106</v>
      </c>
      <c r="G249" s="7" t="s">
        <v>987</v>
      </c>
      <c r="H249" s="1">
        <v>1.2374706100730106</v>
      </c>
      <c r="I249" s="7" t="str">
        <f t="shared" si="3"/>
        <v>1,237</v>
      </c>
    </row>
    <row r="250" spans="1:9" x14ac:dyDescent="0.25">
      <c r="A250" s="7" t="s">
        <v>1379</v>
      </c>
      <c r="B250" s="3" t="s">
        <v>1357</v>
      </c>
      <c r="C250" s="4" t="s">
        <v>263</v>
      </c>
      <c r="D250" s="4" t="s">
        <v>28</v>
      </c>
      <c r="E250" s="5" t="s">
        <v>6</v>
      </c>
      <c r="F250" s="6">
        <v>1.0389610389610389</v>
      </c>
      <c r="G250" s="7" t="s">
        <v>988</v>
      </c>
      <c r="H250" s="1">
        <v>1.0389610389610389</v>
      </c>
      <c r="I250" s="7" t="str">
        <f t="shared" si="3"/>
        <v>1,039</v>
      </c>
    </row>
    <row r="251" spans="1:9" x14ac:dyDescent="0.25">
      <c r="A251" s="7" t="s">
        <v>1380</v>
      </c>
      <c r="B251" s="3" t="s">
        <v>1226</v>
      </c>
      <c r="C251" s="4" t="s">
        <v>264</v>
      </c>
      <c r="D251" s="4" t="s">
        <v>28</v>
      </c>
      <c r="E251" s="5" t="s">
        <v>6</v>
      </c>
      <c r="F251" s="6">
        <v>0.69298354164088605</v>
      </c>
      <c r="G251" s="7" t="s">
        <v>989</v>
      </c>
      <c r="H251" s="1">
        <v>0.69298354164088605</v>
      </c>
      <c r="I251" s="7" t="str">
        <f t="shared" si="3"/>
        <v>0,693</v>
      </c>
    </row>
    <row r="252" spans="1:9" x14ac:dyDescent="0.25">
      <c r="A252" s="7" t="s">
        <v>1381</v>
      </c>
      <c r="B252" s="3" t="s">
        <v>1227</v>
      </c>
      <c r="C252" s="4" t="s">
        <v>265</v>
      </c>
      <c r="D252" s="4" t="s">
        <v>28</v>
      </c>
      <c r="E252" s="5" t="s">
        <v>6</v>
      </c>
      <c r="F252" s="6">
        <f>0.692983541640886*5</f>
        <v>3.46491770820443</v>
      </c>
      <c r="G252" s="7" t="s">
        <v>990</v>
      </c>
      <c r="H252" s="1">
        <v>3.46491770820443</v>
      </c>
      <c r="I252" s="7" t="str">
        <f t="shared" si="3"/>
        <v>3,465</v>
      </c>
    </row>
    <row r="253" spans="1:9" x14ac:dyDescent="0.25">
      <c r="A253" s="7" t="s">
        <v>1382</v>
      </c>
      <c r="B253" s="3" t="s">
        <v>1434</v>
      </c>
      <c r="C253" s="4" t="s">
        <v>266</v>
      </c>
      <c r="D253" s="4" t="s">
        <v>28</v>
      </c>
      <c r="E253" s="5" t="s">
        <v>6</v>
      </c>
      <c r="F253" s="6">
        <v>0.69298354164088605</v>
      </c>
      <c r="G253" s="7" t="s">
        <v>991</v>
      </c>
      <c r="H253" s="1">
        <v>0.69298354164088605</v>
      </c>
      <c r="I253" s="7" t="str">
        <f t="shared" si="3"/>
        <v>0,693</v>
      </c>
    </row>
    <row r="254" spans="1:9" x14ac:dyDescent="0.25">
      <c r="A254" s="7" t="s">
        <v>1383</v>
      </c>
      <c r="B254" s="3" t="s">
        <v>1435</v>
      </c>
      <c r="C254" s="4" t="s">
        <v>267</v>
      </c>
      <c r="D254" s="4" t="s">
        <v>28</v>
      </c>
      <c r="E254" s="5" t="s">
        <v>6</v>
      </c>
      <c r="F254" s="6">
        <f>0.692983541640886*5</f>
        <v>3.46491770820443</v>
      </c>
      <c r="G254" s="7" t="s">
        <v>992</v>
      </c>
      <c r="H254" s="1">
        <v>3.46491770820443</v>
      </c>
      <c r="I254" s="7" t="str">
        <f t="shared" si="3"/>
        <v>3,465</v>
      </c>
    </row>
    <row r="255" spans="1:9" x14ac:dyDescent="0.25">
      <c r="A255" s="7" t="s">
        <v>1384</v>
      </c>
      <c r="B255" s="66" t="s">
        <v>1515</v>
      </c>
      <c r="C255" s="4" t="s">
        <v>268</v>
      </c>
      <c r="D255" s="4" t="s">
        <v>28</v>
      </c>
      <c r="E255" s="67" t="s">
        <v>106</v>
      </c>
      <c r="F255" s="73" t="e">
        <f>#REF!/#REF!</f>
        <v>#REF!</v>
      </c>
      <c r="G255" s="7" t="s">
        <v>993</v>
      </c>
      <c r="H255" s="1">
        <v>9.9673913043478262</v>
      </c>
      <c r="I255" s="7" t="str">
        <f t="shared" si="3"/>
        <v>9,967</v>
      </c>
    </row>
    <row r="256" spans="1:9" x14ac:dyDescent="0.25">
      <c r="A256" s="7" t="s">
        <v>1385</v>
      </c>
      <c r="B256" s="3" t="s">
        <v>1420</v>
      </c>
      <c r="C256" s="4" t="s">
        <v>269</v>
      </c>
      <c r="D256" s="4" t="s">
        <v>28</v>
      </c>
      <c r="E256" s="5" t="s">
        <v>6</v>
      </c>
      <c r="F256" s="6" t="e">
        <f>802/#REF!</f>
        <v>#REF!</v>
      </c>
      <c r="G256" s="7" t="s">
        <v>994</v>
      </c>
      <c r="H256" s="1">
        <v>8.7173913043478262</v>
      </c>
      <c r="I256" s="7" t="str">
        <f t="shared" si="3"/>
        <v>8,717</v>
      </c>
    </row>
    <row r="257" spans="1:9" x14ac:dyDescent="0.25">
      <c r="A257" s="7" t="s">
        <v>1386</v>
      </c>
      <c r="B257" s="3" t="s">
        <v>1233</v>
      </c>
      <c r="C257" s="4" t="s">
        <v>270</v>
      </c>
      <c r="D257" s="4" t="s">
        <v>28</v>
      </c>
      <c r="E257" s="5" t="s">
        <v>6</v>
      </c>
      <c r="F257" s="6">
        <f>1396.01/85/10</f>
        <v>1.6423647058823529</v>
      </c>
      <c r="G257" s="7" t="s">
        <v>995</v>
      </c>
      <c r="H257" s="1">
        <v>1.6423647058823529</v>
      </c>
      <c r="I257" s="7" t="str">
        <f t="shared" si="3"/>
        <v>1,642</v>
      </c>
    </row>
    <row r="258" spans="1:9" x14ac:dyDescent="0.25">
      <c r="A258" s="7" t="s">
        <v>1387</v>
      </c>
      <c r="B258" s="3" t="s">
        <v>1232</v>
      </c>
      <c r="C258" s="4" t="s">
        <v>271</v>
      </c>
      <c r="D258" s="4" t="s">
        <v>28</v>
      </c>
      <c r="E258" s="5" t="s">
        <v>6</v>
      </c>
      <c r="F258" s="6">
        <f>1396.01/85/2</f>
        <v>8.211823529411765</v>
      </c>
      <c r="G258" s="7" t="s">
        <v>996</v>
      </c>
      <c r="H258" s="1">
        <v>8.211823529411765</v>
      </c>
      <c r="I258" s="7" t="str">
        <f t="shared" ref="I258:I321" si="4">FIXED(H258,3)</f>
        <v>8,212</v>
      </c>
    </row>
    <row r="259" spans="1:9" x14ac:dyDescent="0.25">
      <c r="A259" s="7" t="s">
        <v>1388</v>
      </c>
      <c r="B259" s="3" t="s">
        <v>1472</v>
      </c>
      <c r="C259" s="4" t="s">
        <v>272</v>
      </c>
      <c r="D259" s="4" t="s">
        <v>28</v>
      </c>
      <c r="E259" s="5" t="s">
        <v>6</v>
      </c>
      <c r="F259" s="6">
        <f>870.45/62.3</f>
        <v>13.971910112359552</v>
      </c>
      <c r="G259" s="7" t="s">
        <v>997</v>
      </c>
      <c r="H259" s="1">
        <v>13.971910112359552</v>
      </c>
      <c r="I259" s="7" t="str">
        <f t="shared" si="4"/>
        <v>13,972</v>
      </c>
    </row>
    <row r="260" spans="1:9" x14ac:dyDescent="0.25">
      <c r="A260" s="7" t="s">
        <v>1389</v>
      </c>
      <c r="B260" s="3" t="s">
        <v>1473</v>
      </c>
      <c r="C260" s="4" t="s">
        <v>273</v>
      </c>
      <c r="D260" s="4" t="s">
        <v>28</v>
      </c>
      <c r="E260" s="5" t="s">
        <v>6</v>
      </c>
      <c r="F260" s="6">
        <f>454.93/68</f>
        <v>6.6901470588235297</v>
      </c>
      <c r="G260" s="7" t="s">
        <v>998</v>
      </c>
      <c r="H260" s="1">
        <v>6.6901470588235297</v>
      </c>
      <c r="I260" s="7" t="str">
        <f t="shared" si="4"/>
        <v>6,690</v>
      </c>
    </row>
    <row r="261" spans="1:9" x14ac:dyDescent="0.25">
      <c r="A261" s="7" t="s">
        <v>1390</v>
      </c>
      <c r="B261" s="3" t="s">
        <v>1474</v>
      </c>
      <c r="C261" s="4" t="s">
        <v>274</v>
      </c>
      <c r="D261" s="4" t="s">
        <v>28</v>
      </c>
      <c r="E261" s="5" t="s">
        <v>6</v>
      </c>
      <c r="F261" s="6">
        <f>454.93/68</f>
        <v>6.6901470588235297</v>
      </c>
      <c r="G261" s="7" t="s">
        <v>999</v>
      </c>
      <c r="H261" s="1">
        <v>6.6901470588235297</v>
      </c>
      <c r="I261" s="7" t="str">
        <f t="shared" si="4"/>
        <v>6,690</v>
      </c>
    </row>
    <row r="262" spans="1:9" x14ac:dyDescent="0.25">
      <c r="A262" s="7" t="s">
        <v>1391</v>
      </c>
      <c r="B262" s="3" t="s">
        <v>1475</v>
      </c>
      <c r="C262" s="4" t="s">
        <v>275</v>
      </c>
      <c r="D262" s="4" t="s">
        <v>28</v>
      </c>
      <c r="E262" s="5" t="s">
        <v>6</v>
      </c>
      <c r="F262" s="6">
        <f>454.93/68</f>
        <v>6.6901470588235297</v>
      </c>
      <c r="G262" s="7" t="s">
        <v>1000</v>
      </c>
      <c r="H262" s="1">
        <v>6.6901470588235297</v>
      </c>
      <c r="I262" s="7" t="str">
        <f t="shared" si="4"/>
        <v>6,690</v>
      </c>
    </row>
    <row r="263" spans="1:9" x14ac:dyDescent="0.25">
      <c r="A263" s="7" t="s">
        <v>1392</v>
      </c>
      <c r="B263" s="3" t="s">
        <v>1476</v>
      </c>
      <c r="C263" s="4" t="s">
        <v>276</v>
      </c>
      <c r="D263" s="4" t="s">
        <v>28</v>
      </c>
      <c r="E263" s="5" t="s">
        <v>6</v>
      </c>
      <c r="F263" s="6">
        <f>454.93/68</f>
        <v>6.6901470588235297</v>
      </c>
      <c r="G263" s="7" t="s">
        <v>1001</v>
      </c>
      <c r="H263" s="1">
        <v>6.6901470588235297</v>
      </c>
      <c r="I263" s="7" t="str">
        <f t="shared" si="4"/>
        <v>6,690</v>
      </c>
    </row>
    <row r="264" spans="1:9" x14ac:dyDescent="0.25">
      <c r="A264" s="7" t="s">
        <v>1393</v>
      </c>
      <c r="B264" s="3" t="s">
        <v>1467</v>
      </c>
      <c r="C264" s="4" t="s">
        <v>277</v>
      </c>
      <c r="D264" s="4" t="s">
        <v>28</v>
      </c>
      <c r="E264" s="5" t="s">
        <v>6</v>
      </c>
      <c r="F264" s="6" t="e">
        <f>129.4/#REF!</f>
        <v>#REF!</v>
      </c>
      <c r="G264" s="7" t="s">
        <v>1002</v>
      </c>
      <c r="H264" s="1">
        <v>1.4065217391304348</v>
      </c>
      <c r="I264" s="7" t="str">
        <f t="shared" si="4"/>
        <v>1,407</v>
      </c>
    </row>
    <row r="265" spans="1:9" x14ac:dyDescent="0.25">
      <c r="A265" s="7" t="s">
        <v>1394</v>
      </c>
      <c r="B265" s="3" t="s">
        <v>1355</v>
      </c>
      <c r="C265" s="4" t="s">
        <v>278</v>
      </c>
      <c r="D265" s="4" t="s">
        <v>28</v>
      </c>
      <c r="E265" s="5" t="s">
        <v>6</v>
      </c>
      <c r="F265" s="6">
        <v>2.633337458235367</v>
      </c>
      <c r="G265" s="7" t="s">
        <v>1003</v>
      </c>
      <c r="H265" s="1">
        <v>2.633337458235367</v>
      </c>
      <c r="I265" s="7" t="str">
        <f t="shared" si="4"/>
        <v>2,633</v>
      </c>
    </row>
    <row r="266" spans="1:9" x14ac:dyDescent="0.25">
      <c r="A266" s="7" t="s">
        <v>1395</v>
      </c>
      <c r="B266" s="3" t="s">
        <v>1228</v>
      </c>
      <c r="C266" s="4" t="s">
        <v>279</v>
      </c>
      <c r="D266" s="4" t="s">
        <v>28</v>
      </c>
      <c r="E266" s="5" t="s">
        <v>6</v>
      </c>
      <c r="F266" s="6">
        <v>0.91572825145402792</v>
      </c>
      <c r="G266" s="7" t="s">
        <v>1004</v>
      </c>
      <c r="H266" s="1">
        <v>0.91572825145402792</v>
      </c>
      <c r="I266" s="7" t="str">
        <f t="shared" si="4"/>
        <v>0,916</v>
      </c>
    </row>
    <row r="267" spans="1:9" x14ac:dyDescent="0.25">
      <c r="A267" s="7" t="s">
        <v>1396</v>
      </c>
      <c r="B267" s="3" t="s">
        <v>1229</v>
      </c>
      <c r="C267" s="4" t="s">
        <v>280</v>
      </c>
      <c r="D267" s="4" t="s">
        <v>28</v>
      </c>
      <c r="E267" s="5" t="s">
        <v>6</v>
      </c>
      <c r="F267" s="6">
        <f>0.915728251454028*5</f>
        <v>4.5786412572701405</v>
      </c>
      <c r="G267" s="7" t="s">
        <v>1005</v>
      </c>
      <c r="H267" s="1">
        <v>4.5786412572701405</v>
      </c>
      <c r="I267" s="7" t="str">
        <f t="shared" si="4"/>
        <v>4,579</v>
      </c>
    </row>
    <row r="268" spans="1:9" x14ac:dyDescent="0.25">
      <c r="A268" s="7" t="s">
        <v>1397</v>
      </c>
      <c r="B268" s="3" t="s">
        <v>1230</v>
      </c>
      <c r="C268" s="4" t="s">
        <v>281</v>
      </c>
      <c r="D268" s="4" t="s">
        <v>28</v>
      </c>
      <c r="E268" s="5" t="s">
        <v>6</v>
      </c>
      <c r="F268" s="6">
        <v>0.91572825145402792</v>
      </c>
      <c r="G268" s="7" t="s">
        <v>1006</v>
      </c>
      <c r="H268" s="1">
        <v>0.91572825145402792</v>
      </c>
      <c r="I268" s="7" t="str">
        <f t="shared" si="4"/>
        <v>0,916</v>
      </c>
    </row>
    <row r="269" spans="1:9" x14ac:dyDescent="0.25">
      <c r="A269" s="7" t="s">
        <v>1398</v>
      </c>
      <c r="B269" s="3" t="s">
        <v>1231</v>
      </c>
      <c r="C269" s="4" t="s">
        <v>282</v>
      </c>
      <c r="D269" s="4" t="s">
        <v>28</v>
      </c>
      <c r="E269" s="5" t="s">
        <v>6</v>
      </c>
      <c r="F269" s="6">
        <f>0.915728251454028*5</f>
        <v>4.5786412572701405</v>
      </c>
      <c r="G269" s="7" t="s">
        <v>1007</v>
      </c>
      <c r="H269" s="1">
        <v>4.5786412572701405</v>
      </c>
      <c r="I269" s="7" t="str">
        <f t="shared" si="4"/>
        <v>4,579</v>
      </c>
    </row>
    <row r="270" spans="1:9" x14ac:dyDescent="0.25">
      <c r="A270" s="7" t="s">
        <v>1399</v>
      </c>
      <c r="B270" s="66" t="s">
        <v>1501</v>
      </c>
      <c r="C270" s="4" t="s">
        <v>283</v>
      </c>
      <c r="D270" s="4" t="s">
        <v>28</v>
      </c>
      <c r="E270" s="67" t="s">
        <v>106</v>
      </c>
      <c r="F270" s="73" t="e">
        <f>#REF!/#REF!</f>
        <v>#REF!</v>
      </c>
      <c r="G270" s="7" t="s">
        <v>1008</v>
      </c>
      <c r="H270" s="1">
        <v>8.4782608695652169</v>
      </c>
      <c r="I270" s="7" t="str">
        <f t="shared" si="4"/>
        <v>8,478</v>
      </c>
    </row>
    <row r="271" spans="1:9" x14ac:dyDescent="0.25">
      <c r="A271" s="7" t="s">
        <v>1400</v>
      </c>
      <c r="B271" s="3" t="s">
        <v>1503</v>
      </c>
      <c r="C271" s="4" t="s">
        <v>284</v>
      </c>
      <c r="D271" s="4" t="s">
        <v>28</v>
      </c>
      <c r="E271" s="5" t="s">
        <v>6</v>
      </c>
      <c r="F271" s="6">
        <v>15.941906553524806</v>
      </c>
      <c r="G271" s="7" t="s">
        <v>1009</v>
      </c>
      <c r="H271" s="1">
        <v>15.941906553524806</v>
      </c>
      <c r="I271" s="7" t="str">
        <f t="shared" si="4"/>
        <v>15,942</v>
      </c>
    </row>
    <row r="272" spans="1:9" x14ac:dyDescent="0.25">
      <c r="A272" s="7" t="s">
        <v>1401</v>
      </c>
      <c r="B272" s="3" t="s">
        <v>1494</v>
      </c>
      <c r="C272" s="4" t="s">
        <v>285</v>
      </c>
      <c r="D272" s="4" t="s">
        <v>28</v>
      </c>
      <c r="E272" s="5" t="s">
        <v>6</v>
      </c>
      <c r="F272" s="6">
        <f>731.85/62.3</f>
        <v>11.747191011235955</v>
      </c>
      <c r="G272" s="7" t="s">
        <v>1010</v>
      </c>
      <c r="H272" s="1">
        <v>11.747191011235955</v>
      </c>
      <c r="I272" s="7" t="str">
        <f t="shared" si="4"/>
        <v>11,747</v>
      </c>
    </row>
    <row r="273" spans="1:9" x14ac:dyDescent="0.25">
      <c r="A273" s="7" t="s">
        <v>1402</v>
      </c>
      <c r="B273" s="66" t="s">
        <v>1505</v>
      </c>
      <c r="C273" s="4" t="s">
        <v>286</v>
      </c>
      <c r="D273" s="4" t="s">
        <v>28</v>
      </c>
      <c r="E273" s="67" t="s">
        <v>106</v>
      </c>
      <c r="F273" s="73" t="e">
        <f>#REF!/#REF!</f>
        <v>#REF!</v>
      </c>
      <c r="G273" s="7" t="s">
        <v>1011</v>
      </c>
      <c r="H273" s="1">
        <v>13.967391304347826</v>
      </c>
      <c r="I273" s="7" t="str">
        <f t="shared" si="4"/>
        <v>13,967</v>
      </c>
    </row>
    <row r="274" spans="1:9" x14ac:dyDescent="0.25">
      <c r="A274" s="7" t="s">
        <v>1403</v>
      </c>
      <c r="B274" s="3" t="s">
        <v>1507</v>
      </c>
      <c r="C274" s="4" t="s">
        <v>287</v>
      </c>
      <c r="D274" s="4" t="s">
        <v>28</v>
      </c>
      <c r="E274" s="5" t="s">
        <v>113</v>
      </c>
      <c r="F274" s="73">
        <v>17.535</v>
      </c>
      <c r="G274" s="7" t="s">
        <v>1012</v>
      </c>
      <c r="H274" s="1">
        <v>17.535</v>
      </c>
      <c r="I274" s="7" t="str">
        <f t="shared" si="4"/>
        <v>17,535</v>
      </c>
    </row>
    <row r="275" spans="1:9" x14ac:dyDescent="0.25">
      <c r="A275" s="7" t="s">
        <v>1404</v>
      </c>
      <c r="B275" s="3" t="s">
        <v>1504</v>
      </c>
      <c r="C275" s="4" t="s">
        <v>288</v>
      </c>
      <c r="D275" s="4" t="s">
        <v>28</v>
      </c>
      <c r="E275" s="5" t="s">
        <v>6</v>
      </c>
      <c r="F275" s="6">
        <v>9.5541769973890354</v>
      </c>
      <c r="G275" s="7" t="s">
        <v>1013</v>
      </c>
      <c r="H275" s="1">
        <v>9.5541769973890354</v>
      </c>
      <c r="I275" s="7" t="str">
        <f t="shared" si="4"/>
        <v>9,554</v>
      </c>
    </row>
    <row r="276" spans="1:9" x14ac:dyDescent="0.25">
      <c r="A276" s="7" t="s">
        <v>1405</v>
      </c>
      <c r="B276" s="3" t="s">
        <v>1502</v>
      </c>
      <c r="C276" s="4" t="s">
        <v>289</v>
      </c>
      <c r="D276" s="4" t="s">
        <v>28</v>
      </c>
      <c r="E276" s="5" t="s">
        <v>6</v>
      </c>
      <c r="F276" s="6">
        <v>11.22650130548303</v>
      </c>
      <c r="G276" s="7" t="s">
        <v>1014</v>
      </c>
      <c r="H276" s="1">
        <v>11.22650130548303</v>
      </c>
      <c r="I276" s="7" t="str">
        <f t="shared" si="4"/>
        <v>11,227</v>
      </c>
    </row>
    <row r="277" spans="1:9" x14ac:dyDescent="0.25">
      <c r="A277" s="7" t="s">
        <v>1406</v>
      </c>
      <c r="B277" s="66" t="s">
        <v>1495</v>
      </c>
      <c r="C277" s="4" t="s">
        <v>290</v>
      </c>
      <c r="D277" s="4" t="s">
        <v>28</v>
      </c>
      <c r="E277" s="67" t="s">
        <v>106</v>
      </c>
      <c r="F277" s="73" t="e">
        <f>#REF!/#REF!</f>
        <v>#REF!</v>
      </c>
      <c r="G277" s="7" t="s">
        <v>1015</v>
      </c>
      <c r="H277" s="1">
        <v>12.260869565217391</v>
      </c>
      <c r="I277" s="7" t="str">
        <f t="shared" si="4"/>
        <v>12,261</v>
      </c>
    </row>
    <row r="278" spans="1:9" x14ac:dyDescent="0.25">
      <c r="A278" s="7" t="s">
        <v>1407</v>
      </c>
      <c r="B278" s="3" t="s">
        <v>1506</v>
      </c>
      <c r="C278" s="4" t="s">
        <v>290</v>
      </c>
      <c r="D278" s="4" t="s">
        <v>28</v>
      </c>
      <c r="E278" s="5" t="s">
        <v>113</v>
      </c>
      <c r="F278" s="73">
        <v>12.957000000000001</v>
      </c>
      <c r="G278" s="7" t="s">
        <v>1016</v>
      </c>
      <c r="H278" s="1">
        <v>12.957000000000001</v>
      </c>
      <c r="I278" s="7" t="str">
        <f t="shared" si="4"/>
        <v>12,957</v>
      </c>
    </row>
    <row r="279" spans="1:9" x14ac:dyDescent="0.25">
      <c r="A279" s="7" t="s">
        <v>1408</v>
      </c>
      <c r="B279" s="3" t="s">
        <v>1462</v>
      </c>
      <c r="C279" s="4" t="s">
        <v>291</v>
      </c>
      <c r="D279" s="4" t="s">
        <v>28</v>
      </c>
      <c r="E279" s="5" t="s">
        <v>6</v>
      </c>
      <c r="F279" s="6" t="e">
        <f>1092.66/#REF!</f>
        <v>#REF!</v>
      </c>
      <c r="G279" s="7" t="s">
        <v>1017</v>
      </c>
      <c r="H279" s="1">
        <v>11.876739130434784</v>
      </c>
      <c r="I279" s="7" t="str">
        <f t="shared" si="4"/>
        <v>11,877</v>
      </c>
    </row>
    <row r="280" spans="1:9" x14ac:dyDescent="0.25">
      <c r="A280" s="7" t="s">
        <v>1409</v>
      </c>
      <c r="B280" s="3" t="s">
        <v>1513</v>
      </c>
      <c r="C280" s="4" t="s">
        <v>292</v>
      </c>
      <c r="D280" s="4" t="s">
        <v>28</v>
      </c>
      <c r="E280" s="5" t="s">
        <v>217</v>
      </c>
      <c r="F280" s="6" t="e">
        <f>235.24/1/#REF!</f>
        <v>#REF!</v>
      </c>
      <c r="G280" s="7" t="s">
        <v>1018</v>
      </c>
      <c r="H280" s="1">
        <v>2.5569565217391306</v>
      </c>
      <c r="I280" s="7" t="str">
        <f t="shared" si="4"/>
        <v>2,557</v>
      </c>
    </row>
    <row r="281" spans="1:9" x14ac:dyDescent="0.25">
      <c r="A281" s="7" t="s">
        <v>1410</v>
      </c>
      <c r="B281" s="3" t="s">
        <v>1234</v>
      </c>
      <c r="C281" s="7" t="s">
        <v>293</v>
      </c>
      <c r="D281" s="4" t="s">
        <v>28</v>
      </c>
      <c r="E281" s="5" t="s">
        <v>6</v>
      </c>
      <c r="F281" s="6">
        <v>2.3302877545691905</v>
      </c>
      <c r="G281" s="7" t="s">
        <v>1019</v>
      </c>
      <c r="H281" s="1">
        <v>2.3302877545691905</v>
      </c>
      <c r="I281" s="7" t="str">
        <f t="shared" si="4"/>
        <v>2,330</v>
      </c>
    </row>
    <row r="282" spans="1:9" x14ac:dyDescent="0.25">
      <c r="A282" s="7" t="s">
        <v>1411</v>
      </c>
      <c r="B282" s="3" t="s">
        <v>1423</v>
      </c>
      <c r="C282" s="7" t="s">
        <v>294</v>
      </c>
      <c r="D282" s="4" t="s">
        <v>28</v>
      </c>
      <c r="E282" s="5" t="s">
        <v>6</v>
      </c>
      <c r="F282" s="6" t="e">
        <f>193/#REF!</f>
        <v>#REF!</v>
      </c>
      <c r="G282" s="7" t="s">
        <v>1020</v>
      </c>
      <c r="H282" s="1">
        <v>2.097826086956522</v>
      </c>
      <c r="I282" s="7" t="str">
        <f t="shared" si="4"/>
        <v>2,098</v>
      </c>
    </row>
    <row r="283" spans="1:9" x14ac:dyDescent="0.25">
      <c r="A283" s="7" t="s">
        <v>1412</v>
      </c>
      <c r="B283" s="3" t="s">
        <v>1409</v>
      </c>
      <c r="C283" s="7" t="s">
        <v>295</v>
      </c>
      <c r="D283" s="4" t="s">
        <v>28</v>
      </c>
      <c r="E283" s="5" t="s">
        <v>6</v>
      </c>
      <c r="F283" s="6" t="e">
        <f>113/#REF!</f>
        <v>#REF!</v>
      </c>
      <c r="G283" s="7" t="s">
        <v>1021</v>
      </c>
      <c r="H283" s="1">
        <v>1.2282608695652173</v>
      </c>
      <c r="I283" s="7" t="str">
        <f t="shared" si="4"/>
        <v>1,228</v>
      </c>
    </row>
    <row r="284" spans="1:9" x14ac:dyDescent="0.25">
      <c r="A284" s="7" t="s">
        <v>1413</v>
      </c>
      <c r="B284" s="3" t="s">
        <v>1509</v>
      </c>
      <c r="C284" s="7" t="s">
        <v>296</v>
      </c>
      <c r="D284" s="4" t="s">
        <v>28</v>
      </c>
      <c r="E284" s="5" t="s">
        <v>297</v>
      </c>
      <c r="F284" s="6">
        <f>302.04/85</f>
        <v>3.5534117647058827</v>
      </c>
      <c r="G284" s="7" t="s">
        <v>1022</v>
      </c>
      <c r="H284" s="1">
        <v>3.5534117647058827</v>
      </c>
      <c r="I284" s="7" t="str">
        <f t="shared" si="4"/>
        <v>3,553</v>
      </c>
    </row>
    <row r="285" spans="1:9" x14ac:dyDescent="0.25">
      <c r="A285" s="7" t="s">
        <v>1414</v>
      </c>
      <c r="B285" s="3" t="s">
        <v>1235</v>
      </c>
      <c r="C285" s="4" t="s">
        <v>298</v>
      </c>
      <c r="D285" s="4" t="s">
        <v>28</v>
      </c>
      <c r="E285" s="5" t="s">
        <v>60</v>
      </c>
      <c r="F285" s="6">
        <v>4.1635743015129112</v>
      </c>
      <c r="G285" s="7" t="s">
        <v>1023</v>
      </c>
      <c r="H285" s="1">
        <v>4.1635743015129112</v>
      </c>
      <c r="I285" s="7" t="str">
        <f t="shared" si="4"/>
        <v>4,164</v>
      </c>
    </row>
    <row r="286" spans="1:9" x14ac:dyDescent="0.25">
      <c r="A286" s="7" t="s">
        <v>1415</v>
      </c>
      <c r="B286" s="3" t="s">
        <v>1236</v>
      </c>
      <c r="C286" s="4" t="s">
        <v>299</v>
      </c>
      <c r="D286" s="4" t="s">
        <v>28</v>
      </c>
      <c r="E286" s="5" t="s">
        <v>60</v>
      </c>
      <c r="F286" s="6">
        <v>4.1635743015129112</v>
      </c>
      <c r="G286" s="7" t="s">
        <v>1024</v>
      </c>
      <c r="H286" s="1">
        <v>4.1635743015129112</v>
      </c>
      <c r="I286" s="7" t="str">
        <f t="shared" si="4"/>
        <v>4,164</v>
      </c>
    </row>
    <row r="287" spans="1:9" x14ac:dyDescent="0.25">
      <c r="A287" s="7" t="s">
        <v>1416</v>
      </c>
      <c r="B287" s="3" t="s">
        <v>1237</v>
      </c>
      <c r="C287" s="4" t="s">
        <v>300</v>
      </c>
      <c r="D287" s="4" t="s">
        <v>28</v>
      </c>
      <c r="E287" s="5" t="s">
        <v>60</v>
      </c>
      <c r="F287" s="6">
        <v>4.1635743015129112</v>
      </c>
      <c r="G287" s="7" t="s">
        <v>1025</v>
      </c>
      <c r="H287" s="1">
        <v>4.1635743015129112</v>
      </c>
      <c r="I287" s="7" t="str">
        <f t="shared" si="4"/>
        <v>4,164</v>
      </c>
    </row>
    <row r="288" spans="1:9" x14ac:dyDescent="0.25">
      <c r="A288" s="7" t="s">
        <v>1417</v>
      </c>
      <c r="B288" s="3" t="s">
        <v>1329</v>
      </c>
      <c r="C288" s="4" t="s">
        <v>301</v>
      </c>
      <c r="D288" s="4" t="s">
        <v>28</v>
      </c>
      <c r="E288" s="5" t="s">
        <v>60</v>
      </c>
      <c r="F288" s="6">
        <v>0.84102564102564092</v>
      </c>
      <c r="G288" s="7" t="s">
        <v>1026</v>
      </c>
      <c r="H288" s="1">
        <v>0.84102564102564092</v>
      </c>
      <c r="I288" s="7" t="str">
        <f t="shared" si="4"/>
        <v>0,841</v>
      </c>
    </row>
    <row r="289" spans="1:9" x14ac:dyDescent="0.25">
      <c r="A289" s="7" t="s">
        <v>1418</v>
      </c>
      <c r="B289" s="3" t="s">
        <v>1410</v>
      </c>
      <c r="C289" s="7" t="s">
        <v>302</v>
      </c>
      <c r="D289" s="4" t="s">
        <v>28</v>
      </c>
      <c r="E289" s="5" t="s">
        <v>6</v>
      </c>
      <c r="F289" s="6" t="e">
        <f>126/#REF!</f>
        <v>#REF!</v>
      </c>
      <c r="G289" s="7" t="s">
        <v>1027</v>
      </c>
      <c r="H289" s="1">
        <v>1.3695652173913044</v>
      </c>
      <c r="I289" s="7" t="str">
        <f t="shared" si="4"/>
        <v>1,370</v>
      </c>
    </row>
    <row r="290" spans="1:9" x14ac:dyDescent="0.25">
      <c r="A290" s="7" t="s">
        <v>1419</v>
      </c>
      <c r="B290" s="3" t="s">
        <v>1369</v>
      </c>
      <c r="C290" s="4" t="s">
        <v>303</v>
      </c>
      <c r="D290" s="4" t="s">
        <v>28</v>
      </c>
      <c r="E290" s="5" t="s">
        <v>6</v>
      </c>
      <c r="F290" s="6">
        <v>0</v>
      </c>
      <c r="G290" s="7" t="s">
        <v>1028</v>
      </c>
      <c r="H290" s="1">
        <v>0</v>
      </c>
      <c r="I290" s="7" t="str">
        <f t="shared" si="4"/>
        <v>0,000</v>
      </c>
    </row>
    <row r="291" spans="1:9" x14ac:dyDescent="0.25">
      <c r="A291" s="7" t="s">
        <v>1420</v>
      </c>
      <c r="B291" s="3" t="s">
        <v>1326</v>
      </c>
      <c r="C291" s="4" t="s">
        <v>304</v>
      </c>
      <c r="D291" s="4" t="s">
        <v>28</v>
      </c>
      <c r="E291" s="5" t="s">
        <v>60</v>
      </c>
      <c r="F291" s="6">
        <v>3.28</v>
      </c>
      <c r="G291" s="7" t="s">
        <v>1029</v>
      </c>
      <c r="H291" s="1">
        <v>3.28</v>
      </c>
      <c r="I291" s="7" t="str">
        <f t="shared" si="4"/>
        <v>3,280</v>
      </c>
    </row>
    <row r="292" spans="1:9" x14ac:dyDescent="0.25">
      <c r="A292" s="7" t="s">
        <v>1421</v>
      </c>
      <c r="B292" s="3" t="s">
        <v>1408</v>
      </c>
      <c r="C292" s="4" t="s">
        <v>305</v>
      </c>
      <c r="D292" s="4" t="s">
        <v>28</v>
      </c>
      <c r="E292" s="5" t="s">
        <v>119</v>
      </c>
      <c r="F292" s="6">
        <f>161.49/75</f>
        <v>2.1532</v>
      </c>
      <c r="G292" s="7" t="s">
        <v>1030</v>
      </c>
      <c r="H292" s="1">
        <v>2.1532</v>
      </c>
      <c r="I292" s="7" t="str">
        <f t="shared" si="4"/>
        <v>2,153</v>
      </c>
    </row>
    <row r="293" spans="1:9" x14ac:dyDescent="0.25">
      <c r="A293" s="7" t="s">
        <v>1422</v>
      </c>
      <c r="B293" s="3" t="s">
        <v>1416</v>
      </c>
      <c r="C293" s="4" t="s">
        <v>306</v>
      </c>
      <c r="D293" s="4" t="s">
        <v>28</v>
      </c>
      <c r="E293" s="5" t="s">
        <v>113</v>
      </c>
      <c r="F293" s="73">
        <v>1.26</v>
      </c>
      <c r="G293" s="7" t="s">
        <v>1031</v>
      </c>
      <c r="H293" s="1">
        <v>1.26</v>
      </c>
      <c r="I293" s="7" t="str">
        <f t="shared" si="4"/>
        <v>1,260</v>
      </c>
    </row>
    <row r="294" spans="1:9" x14ac:dyDescent="0.25">
      <c r="A294" s="7" t="s">
        <v>1423</v>
      </c>
      <c r="B294" s="3" t="s">
        <v>1487</v>
      </c>
      <c r="C294" s="4" t="s">
        <v>307</v>
      </c>
      <c r="D294" s="4" t="s">
        <v>28</v>
      </c>
      <c r="E294" s="5" t="s">
        <v>6</v>
      </c>
      <c r="F294" s="6">
        <f>78.75/62.3</f>
        <v>1.2640449438202248</v>
      </c>
      <c r="G294" s="7" t="s">
        <v>1032</v>
      </c>
      <c r="H294" s="1">
        <v>1.2640449438202248</v>
      </c>
      <c r="I294" s="7" t="str">
        <f t="shared" si="4"/>
        <v>1,264</v>
      </c>
    </row>
    <row r="295" spans="1:9" x14ac:dyDescent="0.25">
      <c r="A295" s="7" t="s">
        <v>1424</v>
      </c>
      <c r="B295" s="66" t="s">
        <v>1238</v>
      </c>
      <c r="C295" s="4" t="s">
        <v>308</v>
      </c>
      <c r="D295" s="4" t="s">
        <v>28</v>
      </c>
      <c r="E295" s="67" t="s">
        <v>106</v>
      </c>
      <c r="F295" s="73" t="e">
        <f>#REF!/#REF!</f>
        <v>#REF!</v>
      </c>
      <c r="G295" s="7" t="s">
        <v>1033</v>
      </c>
      <c r="H295" s="1">
        <v>0.73913043478260865</v>
      </c>
      <c r="I295" s="7" t="str">
        <f t="shared" si="4"/>
        <v>0,739</v>
      </c>
    </row>
    <row r="296" spans="1:9" x14ac:dyDescent="0.25">
      <c r="A296" s="7" t="s">
        <v>1425</v>
      </c>
      <c r="B296" s="3" t="s">
        <v>1321</v>
      </c>
      <c r="C296" s="4" t="s">
        <v>309</v>
      </c>
      <c r="D296" s="4" t="s">
        <v>28</v>
      </c>
      <c r="E296" s="5" t="s">
        <v>6</v>
      </c>
      <c r="F296" s="6">
        <v>1</v>
      </c>
      <c r="G296" s="7" t="s">
        <v>1034</v>
      </c>
      <c r="H296" s="1">
        <v>1</v>
      </c>
      <c r="I296" s="7" t="str">
        <f t="shared" si="4"/>
        <v>1,000</v>
      </c>
    </row>
    <row r="297" spans="1:9" x14ac:dyDescent="0.25">
      <c r="A297" s="7" t="s">
        <v>1426</v>
      </c>
      <c r="B297" s="3" t="s">
        <v>1323</v>
      </c>
      <c r="C297" s="4" t="s">
        <v>310</v>
      </c>
      <c r="D297" s="4" t="s">
        <v>28</v>
      </c>
      <c r="E297" s="5" t="s">
        <v>60</v>
      </c>
      <c r="F297" s="6">
        <v>1.1000000000000001</v>
      </c>
      <c r="G297" s="7" t="s">
        <v>1035</v>
      </c>
      <c r="H297" s="1">
        <v>1.1000000000000001</v>
      </c>
      <c r="I297" s="7" t="str">
        <f t="shared" si="4"/>
        <v>1,100</v>
      </c>
    </row>
    <row r="298" spans="1:9" x14ac:dyDescent="0.25">
      <c r="A298" s="7" t="s">
        <v>1427</v>
      </c>
      <c r="B298" s="3" t="s">
        <v>1322</v>
      </c>
      <c r="C298" s="4" t="s">
        <v>311</v>
      </c>
      <c r="D298" s="4" t="s">
        <v>28</v>
      </c>
      <c r="E298" s="5" t="s">
        <v>60</v>
      </c>
      <c r="F298" s="6">
        <v>1.1000000000000001</v>
      </c>
      <c r="G298" s="7" t="s">
        <v>1036</v>
      </c>
      <c r="H298" s="1">
        <v>1.1000000000000001</v>
      </c>
      <c r="I298" s="7" t="str">
        <f t="shared" si="4"/>
        <v>1,100</v>
      </c>
    </row>
    <row r="299" spans="1:9" x14ac:dyDescent="0.25">
      <c r="A299" s="7" t="s">
        <v>1428</v>
      </c>
      <c r="B299" s="3" t="s">
        <v>1320</v>
      </c>
      <c r="C299" s="4" t="s">
        <v>312</v>
      </c>
      <c r="D299" s="4" t="s">
        <v>28</v>
      </c>
      <c r="E299" s="5" t="s">
        <v>60</v>
      </c>
      <c r="F299" s="6">
        <v>2.0699999999999998</v>
      </c>
      <c r="G299" s="7" t="s">
        <v>1037</v>
      </c>
      <c r="H299" s="1">
        <v>2.0699999999999998</v>
      </c>
      <c r="I299" s="7" t="str">
        <f t="shared" si="4"/>
        <v>2,070</v>
      </c>
    </row>
    <row r="300" spans="1:9" x14ac:dyDescent="0.25">
      <c r="A300" s="7" t="s">
        <v>1429</v>
      </c>
      <c r="B300" s="3" t="s">
        <v>1318</v>
      </c>
      <c r="C300" s="4" t="s">
        <v>313</v>
      </c>
      <c r="D300" s="4" t="s">
        <v>28</v>
      </c>
      <c r="E300" s="5" t="s">
        <v>60</v>
      </c>
      <c r="F300" s="6">
        <v>2.0699999999999998</v>
      </c>
      <c r="G300" s="7" t="s">
        <v>1038</v>
      </c>
      <c r="H300" s="1">
        <v>2.0699999999999998</v>
      </c>
      <c r="I300" s="7" t="str">
        <f t="shared" si="4"/>
        <v>2,070</v>
      </c>
    </row>
    <row r="301" spans="1:9" x14ac:dyDescent="0.25">
      <c r="A301" s="7" t="s">
        <v>1430</v>
      </c>
      <c r="B301" s="3" t="s">
        <v>1239</v>
      </c>
      <c r="C301" s="4" t="s">
        <v>314</v>
      </c>
      <c r="D301" s="4" t="s">
        <v>28</v>
      </c>
      <c r="E301" s="5" t="s">
        <v>6</v>
      </c>
      <c r="F301" s="6">
        <v>1.0198433420365536</v>
      </c>
      <c r="G301" s="7" t="s">
        <v>1039</v>
      </c>
      <c r="H301" s="1">
        <v>1.0198433420365536</v>
      </c>
      <c r="I301" s="7" t="str">
        <f t="shared" si="4"/>
        <v>1,020</v>
      </c>
    </row>
    <row r="302" spans="1:9" x14ac:dyDescent="0.25">
      <c r="A302" s="7" t="s">
        <v>1431</v>
      </c>
      <c r="B302" s="3" t="s">
        <v>1325</v>
      </c>
      <c r="C302" s="4" t="s">
        <v>315</v>
      </c>
      <c r="D302" s="4" t="s">
        <v>28</v>
      </c>
      <c r="E302" s="5" t="s">
        <v>60</v>
      </c>
      <c r="F302" s="6">
        <v>1.9</v>
      </c>
      <c r="G302" s="7" t="s">
        <v>1040</v>
      </c>
      <c r="H302" s="1">
        <v>1.9</v>
      </c>
      <c r="I302" s="7" t="str">
        <f t="shared" si="4"/>
        <v>1,900</v>
      </c>
    </row>
    <row r="303" spans="1:9" x14ac:dyDescent="0.25">
      <c r="A303" s="7" t="s">
        <v>1432</v>
      </c>
      <c r="B303" s="3" t="s">
        <v>1240</v>
      </c>
      <c r="C303" s="4" t="s">
        <v>316</v>
      </c>
      <c r="D303" s="4" t="s">
        <v>28</v>
      </c>
      <c r="E303" s="5" t="s">
        <v>113</v>
      </c>
      <c r="F303" s="73">
        <v>1.554</v>
      </c>
      <c r="G303" s="7" t="s">
        <v>1041</v>
      </c>
      <c r="H303" s="1">
        <v>1.554</v>
      </c>
      <c r="I303" s="7" t="str">
        <f t="shared" si="4"/>
        <v>1,554</v>
      </c>
    </row>
    <row r="304" spans="1:9" x14ac:dyDescent="0.25">
      <c r="A304" s="7" t="s">
        <v>1433</v>
      </c>
      <c r="B304" s="3" t="s">
        <v>1333</v>
      </c>
      <c r="C304" s="4" t="s">
        <v>317</v>
      </c>
      <c r="D304" s="4" t="s">
        <v>28</v>
      </c>
      <c r="E304" s="5" t="s">
        <v>113</v>
      </c>
      <c r="F304" s="73">
        <v>1.3230000000000002</v>
      </c>
      <c r="G304" s="7" t="s">
        <v>1042</v>
      </c>
      <c r="H304" s="1">
        <v>1.3230000000000002</v>
      </c>
      <c r="I304" s="7" t="str">
        <f t="shared" si="4"/>
        <v>1,323</v>
      </c>
    </row>
    <row r="305" spans="1:9" x14ac:dyDescent="0.25">
      <c r="A305" s="7" t="s">
        <v>1434</v>
      </c>
      <c r="B305" s="66" t="s">
        <v>1246</v>
      </c>
      <c r="C305" s="4" t="s">
        <v>318</v>
      </c>
      <c r="D305" s="4" t="s">
        <v>28</v>
      </c>
      <c r="E305" s="67" t="s">
        <v>106</v>
      </c>
      <c r="F305" s="73" t="e">
        <f>#REF!/#REF!</f>
        <v>#REF!</v>
      </c>
      <c r="G305" s="7" t="s">
        <v>1043</v>
      </c>
      <c r="H305" s="1">
        <v>0.73913043478260865</v>
      </c>
      <c r="I305" s="7" t="str">
        <f t="shared" si="4"/>
        <v>0,739</v>
      </c>
    </row>
    <row r="306" spans="1:9" x14ac:dyDescent="0.25">
      <c r="A306" s="7" t="s">
        <v>1435</v>
      </c>
      <c r="B306" s="3" t="s">
        <v>1399</v>
      </c>
      <c r="C306" s="4" t="s">
        <v>319</v>
      </c>
      <c r="D306" s="4" t="s">
        <v>28</v>
      </c>
      <c r="E306" s="5" t="s">
        <v>60</v>
      </c>
      <c r="F306" s="6" t="e">
        <f>165/#REF!</f>
        <v>#REF!</v>
      </c>
      <c r="G306" s="7" t="s">
        <v>1044</v>
      </c>
      <c r="H306" s="1">
        <v>1.7934782608695652</v>
      </c>
      <c r="I306" s="7" t="str">
        <f t="shared" si="4"/>
        <v>1,793</v>
      </c>
    </row>
    <row r="307" spans="1:9" x14ac:dyDescent="0.25">
      <c r="A307" s="7" t="s">
        <v>1436</v>
      </c>
      <c r="B307" s="3" t="s">
        <v>1463</v>
      </c>
      <c r="C307" s="4" t="s">
        <v>320</v>
      </c>
      <c r="D307" s="4" t="s">
        <v>28</v>
      </c>
      <c r="E307" s="5" t="s">
        <v>6</v>
      </c>
      <c r="F307" s="6">
        <f>308.21/78</f>
        <v>3.9514102564102562</v>
      </c>
      <c r="G307" s="7" t="s">
        <v>1045</v>
      </c>
      <c r="H307" s="1">
        <v>3.9514102564102562</v>
      </c>
      <c r="I307" s="7" t="str">
        <f t="shared" si="4"/>
        <v>3,951</v>
      </c>
    </row>
    <row r="308" spans="1:9" x14ac:dyDescent="0.25">
      <c r="A308" s="7" t="s">
        <v>1437</v>
      </c>
      <c r="B308" s="3" t="s">
        <v>1489</v>
      </c>
      <c r="C308" s="4" t="s">
        <v>321</v>
      </c>
      <c r="D308" s="4" t="s">
        <v>28</v>
      </c>
      <c r="E308" s="5" t="s">
        <v>6</v>
      </c>
      <c r="F308" s="6">
        <f>101.85/62.3</f>
        <v>1.6348314606741572</v>
      </c>
      <c r="G308" s="7" t="s">
        <v>1046</v>
      </c>
      <c r="H308" s="1">
        <v>1.6348314606741572</v>
      </c>
      <c r="I308" s="7" t="str">
        <f t="shared" si="4"/>
        <v>1,635</v>
      </c>
    </row>
    <row r="309" spans="1:9" x14ac:dyDescent="0.25">
      <c r="A309" s="7" t="s">
        <v>1438</v>
      </c>
      <c r="B309" s="3" t="s">
        <v>1488</v>
      </c>
      <c r="C309" s="4" t="s">
        <v>322</v>
      </c>
      <c r="D309" s="4" t="s">
        <v>28</v>
      </c>
      <c r="E309" s="5" t="s">
        <v>6</v>
      </c>
      <c r="F309" s="6">
        <v>2.41</v>
      </c>
      <c r="G309" s="7" t="s">
        <v>1047</v>
      </c>
      <c r="H309" s="1">
        <v>2.41</v>
      </c>
      <c r="I309" s="7" t="str">
        <f t="shared" si="4"/>
        <v>2,410</v>
      </c>
    </row>
    <row r="310" spans="1:9" x14ac:dyDescent="0.25">
      <c r="A310" s="7" t="s">
        <v>1439</v>
      </c>
      <c r="B310" s="66" t="s">
        <v>1353</v>
      </c>
      <c r="C310" s="4" t="s">
        <v>323</v>
      </c>
      <c r="D310" s="4" t="s">
        <v>28</v>
      </c>
      <c r="E310" s="67" t="s">
        <v>106</v>
      </c>
      <c r="F310" s="73" t="e">
        <f>#REF!/#REF!</f>
        <v>#REF!</v>
      </c>
      <c r="G310" s="7" t="s">
        <v>1048</v>
      </c>
      <c r="H310" s="1">
        <v>1.1630434782608696</v>
      </c>
      <c r="I310" s="7" t="str">
        <f t="shared" si="4"/>
        <v>1,163</v>
      </c>
    </row>
    <row r="311" spans="1:9" x14ac:dyDescent="0.25">
      <c r="A311" s="7" t="s">
        <v>1440</v>
      </c>
      <c r="B311" s="3" t="s">
        <v>1484</v>
      </c>
      <c r="C311" s="4" t="s">
        <v>324</v>
      </c>
      <c r="D311" s="4" t="s">
        <v>28</v>
      </c>
      <c r="E311" s="5" t="s">
        <v>119</v>
      </c>
      <c r="F311" s="6">
        <f>88.55/70</f>
        <v>1.2649999999999999</v>
      </c>
      <c r="G311" s="7" t="s">
        <v>1049</v>
      </c>
      <c r="H311" s="1">
        <v>1.2649999999999999</v>
      </c>
      <c r="I311" s="7" t="str">
        <f t="shared" si="4"/>
        <v>1,265</v>
      </c>
    </row>
    <row r="312" spans="1:9" x14ac:dyDescent="0.25">
      <c r="A312" s="7" t="s">
        <v>1441</v>
      </c>
      <c r="B312" s="3" t="s">
        <v>1485</v>
      </c>
      <c r="C312" s="4" t="s">
        <v>325</v>
      </c>
      <c r="D312" s="4" t="s">
        <v>28</v>
      </c>
      <c r="E312" s="5" t="s">
        <v>119</v>
      </c>
      <c r="F312" s="6">
        <f>88.32/70</f>
        <v>1.2617142857142856</v>
      </c>
      <c r="G312" s="7" t="s">
        <v>1050</v>
      </c>
      <c r="H312" s="1">
        <v>1.2617142857142856</v>
      </c>
      <c r="I312" s="7" t="str">
        <f t="shared" si="4"/>
        <v>1,262</v>
      </c>
    </row>
    <row r="313" spans="1:9" x14ac:dyDescent="0.25">
      <c r="A313" s="7" t="s">
        <v>1442</v>
      </c>
      <c r="B313" s="3" t="s">
        <v>1241</v>
      </c>
      <c r="C313" s="4" t="s">
        <v>326</v>
      </c>
      <c r="D313" s="4" t="s">
        <v>28</v>
      </c>
      <c r="E313" s="5" t="s">
        <v>6</v>
      </c>
      <c r="F313" s="6">
        <f>105.49/68</f>
        <v>1.5513235294117647</v>
      </c>
      <c r="G313" s="7" t="s">
        <v>1051</v>
      </c>
      <c r="H313" s="1">
        <v>1.5513235294117647</v>
      </c>
      <c r="I313" s="7" t="str">
        <f t="shared" si="4"/>
        <v>1,551</v>
      </c>
    </row>
    <row r="314" spans="1:9" x14ac:dyDescent="0.25">
      <c r="A314" s="7" t="s">
        <v>1443</v>
      </c>
      <c r="B314" s="3" t="s">
        <v>1243</v>
      </c>
      <c r="C314" s="4" t="s">
        <v>327</v>
      </c>
      <c r="D314" s="4" t="s">
        <v>28</v>
      </c>
      <c r="E314" s="5" t="s">
        <v>6</v>
      </c>
      <c r="F314" s="6">
        <v>1.05</v>
      </c>
      <c r="G314" s="7" t="s">
        <v>1052</v>
      </c>
      <c r="H314" s="1">
        <v>1.05</v>
      </c>
      <c r="I314" s="7" t="str">
        <f t="shared" si="4"/>
        <v>1,050</v>
      </c>
    </row>
    <row r="315" spans="1:9" x14ac:dyDescent="0.25">
      <c r="A315" s="7" t="s">
        <v>1444</v>
      </c>
      <c r="B315" s="3" t="s">
        <v>1242</v>
      </c>
      <c r="C315" s="4" t="s">
        <v>328</v>
      </c>
      <c r="D315" s="4" t="s">
        <v>28</v>
      </c>
      <c r="E315" s="5" t="s">
        <v>6</v>
      </c>
      <c r="F315" s="6">
        <v>1.0554835770234989</v>
      </c>
      <c r="G315" s="7" t="s">
        <v>1053</v>
      </c>
      <c r="H315" s="1">
        <v>1.0554835770234989</v>
      </c>
      <c r="I315" s="7" t="str">
        <f t="shared" si="4"/>
        <v>1,055</v>
      </c>
    </row>
    <row r="316" spans="1:9" x14ac:dyDescent="0.25">
      <c r="A316" s="7" t="s">
        <v>1445</v>
      </c>
      <c r="B316" s="66" t="s">
        <v>1244</v>
      </c>
      <c r="C316" s="4" t="s">
        <v>329</v>
      </c>
      <c r="D316" s="4" t="s">
        <v>28</v>
      </c>
      <c r="E316" s="67" t="s">
        <v>106</v>
      </c>
      <c r="F316" s="73" t="e">
        <f>#REF!/#REF!</f>
        <v>#REF!</v>
      </c>
      <c r="G316" s="7" t="s">
        <v>1054</v>
      </c>
      <c r="H316" s="1">
        <v>0.82608695652173914</v>
      </c>
      <c r="I316" s="7" t="str">
        <f t="shared" si="4"/>
        <v>0,826</v>
      </c>
    </row>
    <row r="317" spans="1:9" x14ac:dyDescent="0.25">
      <c r="A317" s="7" t="s">
        <v>1446</v>
      </c>
      <c r="B317" s="3" t="s">
        <v>1245</v>
      </c>
      <c r="C317" s="4" t="s">
        <v>330</v>
      </c>
      <c r="D317" s="4" t="s">
        <v>28</v>
      </c>
      <c r="E317" s="5" t="s">
        <v>6</v>
      </c>
      <c r="F317" s="6">
        <f>124.74/70</f>
        <v>1.782</v>
      </c>
      <c r="G317" s="7" t="s">
        <v>1055</v>
      </c>
      <c r="H317" s="1">
        <v>1.782</v>
      </c>
      <c r="I317" s="7" t="str">
        <f t="shared" si="4"/>
        <v>1,782</v>
      </c>
    </row>
    <row r="318" spans="1:9" x14ac:dyDescent="0.25">
      <c r="A318" s="7" t="s">
        <v>1447</v>
      </c>
      <c r="B318" s="3" t="s">
        <v>1324</v>
      </c>
      <c r="C318" s="4" t="s">
        <v>331</v>
      </c>
      <c r="D318" s="4" t="s">
        <v>28</v>
      </c>
      <c r="E318" s="5" t="s">
        <v>6</v>
      </c>
      <c r="F318" s="6">
        <f>72.45/62.3</f>
        <v>1.1629213483146068</v>
      </c>
      <c r="G318" s="7" t="s">
        <v>1056</v>
      </c>
      <c r="H318" s="1">
        <v>1.1629213483146068</v>
      </c>
      <c r="I318" s="7" t="str">
        <f t="shared" si="4"/>
        <v>1,163</v>
      </c>
    </row>
    <row r="319" spans="1:9" x14ac:dyDescent="0.25">
      <c r="A319" s="7" t="s">
        <v>1448</v>
      </c>
      <c r="B319" s="3" t="s">
        <v>1400</v>
      </c>
      <c r="C319" s="4" t="s">
        <v>332</v>
      </c>
      <c r="D319" s="4" t="s">
        <v>28</v>
      </c>
      <c r="E319" s="5" t="s">
        <v>6</v>
      </c>
      <c r="F319" s="6">
        <v>1.2</v>
      </c>
      <c r="G319" s="7" t="s">
        <v>1057</v>
      </c>
      <c r="H319" s="1">
        <v>1.2</v>
      </c>
      <c r="I319" s="7" t="str">
        <f t="shared" si="4"/>
        <v>1,200</v>
      </c>
    </row>
    <row r="320" spans="1:9" x14ac:dyDescent="0.25">
      <c r="A320" s="7" t="s">
        <v>1449</v>
      </c>
      <c r="B320" s="3" t="s">
        <v>1389</v>
      </c>
      <c r="C320" s="4" t="s">
        <v>333</v>
      </c>
      <c r="D320" s="4" t="s">
        <v>28</v>
      </c>
      <c r="E320" s="5" t="s">
        <v>6</v>
      </c>
      <c r="F320" s="6">
        <v>1.2</v>
      </c>
      <c r="G320" s="7" t="s">
        <v>1058</v>
      </c>
      <c r="H320" s="1">
        <v>1.2</v>
      </c>
      <c r="I320" s="7" t="str">
        <f t="shared" si="4"/>
        <v>1,200</v>
      </c>
    </row>
    <row r="321" spans="1:9" x14ac:dyDescent="0.25">
      <c r="A321" s="7" t="s">
        <v>1450</v>
      </c>
      <c r="B321" s="3" t="s">
        <v>1483</v>
      </c>
      <c r="C321" s="4" t="s">
        <v>334</v>
      </c>
      <c r="D321" s="4" t="s">
        <v>28</v>
      </c>
      <c r="E321" s="5" t="s">
        <v>119</v>
      </c>
      <c r="F321" s="6">
        <f>89.39/70</f>
        <v>1.2769999999999999</v>
      </c>
      <c r="G321" s="7" t="s">
        <v>1059</v>
      </c>
      <c r="H321" s="1">
        <v>1.2769999999999999</v>
      </c>
      <c r="I321" s="7" t="str">
        <f t="shared" si="4"/>
        <v>1,277</v>
      </c>
    </row>
    <row r="322" spans="1:9" x14ac:dyDescent="0.25">
      <c r="A322" s="7" t="s">
        <v>1451</v>
      </c>
      <c r="B322" s="3" t="s">
        <v>1464</v>
      </c>
      <c r="C322" s="4" t="s">
        <v>335</v>
      </c>
      <c r="D322" s="4" t="s">
        <v>28</v>
      </c>
      <c r="E322" s="5" t="s">
        <v>6</v>
      </c>
      <c r="F322" s="6">
        <v>1.35</v>
      </c>
      <c r="G322" s="7" t="s">
        <v>1060</v>
      </c>
      <c r="H322" s="1">
        <v>1.35</v>
      </c>
      <c r="I322" s="7" t="str">
        <f t="shared" ref="I322:I385" si="5">FIXED(H322,3)</f>
        <v>1,350</v>
      </c>
    </row>
    <row r="323" spans="1:9" x14ac:dyDescent="0.25">
      <c r="A323" s="7" t="s">
        <v>1452</v>
      </c>
      <c r="B323" s="3" t="s">
        <v>1319</v>
      </c>
      <c r="C323" s="4" t="s">
        <v>336</v>
      </c>
      <c r="D323" s="4" t="s">
        <v>28</v>
      </c>
      <c r="E323" s="5" t="s">
        <v>60</v>
      </c>
      <c r="F323" s="6">
        <v>1.2</v>
      </c>
      <c r="G323" s="7" t="s">
        <v>1061</v>
      </c>
      <c r="H323" s="1">
        <v>1.2</v>
      </c>
      <c r="I323" s="7" t="str">
        <f t="shared" si="5"/>
        <v>1,200</v>
      </c>
    </row>
    <row r="324" spans="1:9" x14ac:dyDescent="0.25">
      <c r="A324" s="7" t="s">
        <v>1453</v>
      </c>
      <c r="B324" s="66" t="s">
        <v>1517</v>
      </c>
      <c r="C324" s="4" t="s">
        <v>337</v>
      </c>
      <c r="D324" s="4" t="s">
        <v>28</v>
      </c>
      <c r="E324" s="67" t="s">
        <v>106</v>
      </c>
      <c r="F324" s="73" t="e">
        <f>#REF!/#REF!</f>
        <v>#REF!</v>
      </c>
      <c r="G324" s="7" t="s">
        <v>1062</v>
      </c>
      <c r="H324" s="1">
        <v>7.8260869565217392</v>
      </c>
      <c r="I324" s="7" t="str">
        <f t="shared" si="5"/>
        <v>7,826</v>
      </c>
    </row>
    <row r="325" spans="1:9" x14ac:dyDescent="0.25">
      <c r="A325" s="7" t="s">
        <v>1454</v>
      </c>
      <c r="B325" s="66" t="s">
        <v>1519</v>
      </c>
      <c r="C325" s="4" t="s">
        <v>338</v>
      </c>
      <c r="D325" s="4" t="s">
        <v>28</v>
      </c>
      <c r="E325" s="67" t="s">
        <v>106</v>
      </c>
      <c r="F325" s="73" t="e">
        <f>#REF!/#REF!</f>
        <v>#REF!</v>
      </c>
      <c r="G325" s="7" t="s">
        <v>1063</v>
      </c>
      <c r="H325" s="1">
        <v>5.5</v>
      </c>
      <c r="I325" s="7" t="str">
        <f t="shared" si="5"/>
        <v>5,500</v>
      </c>
    </row>
    <row r="326" spans="1:9" x14ac:dyDescent="0.25">
      <c r="A326" s="7" t="s">
        <v>1455</v>
      </c>
      <c r="B326" s="66" t="s">
        <v>1518</v>
      </c>
      <c r="C326" s="4" t="s">
        <v>339</v>
      </c>
      <c r="D326" s="4" t="s">
        <v>28</v>
      </c>
      <c r="E326" s="67" t="s">
        <v>106</v>
      </c>
      <c r="F326" s="73" t="e">
        <f>#REF!/#REF!</f>
        <v>#REF!</v>
      </c>
      <c r="G326" s="7" t="s">
        <v>1064</v>
      </c>
      <c r="H326" s="1">
        <v>9.9891304347826093</v>
      </c>
      <c r="I326" s="7" t="str">
        <f t="shared" si="5"/>
        <v>9,989</v>
      </c>
    </row>
    <row r="327" spans="1:9" x14ac:dyDescent="0.25">
      <c r="A327" s="7" t="s">
        <v>1456</v>
      </c>
      <c r="B327" s="3" t="s">
        <v>1436</v>
      </c>
      <c r="C327" s="7" t="s">
        <v>340</v>
      </c>
      <c r="D327" s="4" t="s">
        <v>28</v>
      </c>
      <c r="E327" s="5" t="s">
        <v>6</v>
      </c>
      <c r="F327" s="6">
        <v>1.1235000000000002</v>
      </c>
      <c r="G327" s="7" t="s">
        <v>1065</v>
      </c>
      <c r="H327" s="1">
        <v>1.1235000000000002</v>
      </c>
      <c r="I327" s="7" t="str">
        <f t="shared" si="5"/>
        <v>1,124</v>
      </c>
    </row>
    <row r="328" spans="1:9" x14ac:dyDescent="0.25">
      <c r="A328" s="7" t="s">
        <v>1457</v>
      </c>
      <c r="B328" s="3" t="s">
        <v>1437</v>
      </c>
      <c r="C328" s="7" t="s">
        <v>341</v>
      </c>
      <c r="D328" s="4" t="s">
        <v>28</v>
      </c>
      <c r="E328" s="5" t="s">
        <v>6</v>
      </c>
      <c r="F328" s="6">
        <v>1.1235000000000002</v>
      </c>
      <c r="G328" s="7" t="s">
        <v>1066</v>
      </c>
      <c r="H328" s="1">
        <v>1.1235000000000002</v>
      </c>
      <c r="I328" s="7" t="str">
        <f t="shared" si="5"/>
        <v>1,124</v>
      </c>
    </row>
    <row r="329" spans="1:9" x14ac:dyDescent="0.25">
      <c r="A329" s="7" t="s">
        <v>1458</v>
      </c>
      <c r="B329" s="3" t="s">
        <v>1438</v>
      </c>
      <c r="C329" s="7" t="s">
        <v>342</v>
      </c>
      <c r="D329" s="4" t="s">
        <v>28</v>
      </c>
      <c r="E329" s="5" t="s">
        <v>6</v>
      </c>
      <c r="F329" s="6">
        <v>1.1235000000000002</v>
      </c>
      <c r="G329" s="7" t="s">
        <v>1067</v>
      </c>
      <c r="H329" s="1">
        <v>1.1235000000000002</v>
      </c>
      <c r="I329" s="7" t="str">
        <f t="shared" si="5"/>
        <v>1,124</v>
      </c>
    </row>
    <row r="330" spans="1:9" x14ac:dyDescent="0.25">
      <c r="A330" s="7" t="s">
        <v>1459</v>
      </c>
      <c r="B330" s="3" t="s">
        <v>1439</v>
      </c>
      <c r="C330" s="7" t="s">
        <v>343</v>
      </c>
      <c r="D330" s="4" t="s">
        <v>28</v>
      </c>
      <c r="E330" s="5" t="s">
        <v>6</v>
      </c>
      <c r="F330" s="6">
        <v>1.1235000000000002</v>
      </c>
      <c r="G330" s="7" t="s">
        <v>1068</v>
      </c>
      <c r="H330" s="1">
        <v>1.1235000000000002</v>
      </c>
      <c r="I330" s="7" t="str">
        <f t="shared" si="5"/>
        <v>1,124</v>
      </c>
    </row>
    <row r="331" spans="1:9" x14ac:dyDescent="0.25">
      <c r="A331" s="7" t="s">
        <v>1460</v>
      </c>
      <c r="B331" s="3" t="s">
        <v>1247</v>
      </c>
      <c r="C331" s="7" t="s">
        <v>344</v>
      </c>
      <c r="D331" s="4" t="s">
        <v>28</v>
      </c>
      <c r="E331" s="5" t="s">
        <v>60</v>
      </c>
      <c r="F331" s="6">
        <v>0.81795000000000007</v>
      </c>
      <c r="G331" s="7" t="s">
        <v>1069</v>
      </c>
      <c r="H331" s="1">
        <v>0.81795000000000007</v>
      </c>
      <c r="I331" s="7" t="str">
        <f t="shared" si="5"/>
        <v>0,818</v>
      </c>
    </row>
    <row r="332" spans="1:9" x14ac:dyDescent="0.25">
      <c r="A332" s="7" t="s">
        <v>1461</v>
      </c>
      <c r="B332" s="3" t="s">
        <v>1248</v>
      </c>
      <c r="C332" s="7" t="s">
        <v>345</v>
      </c>
      <c r="D332" s="4" t="s">
        <v>28</v>
      </c>
      <c r="E332" s="5" t="s">
        <v>60</v>
      </c>
      <c r="F332" s="6">
        <v>0.81795000000000007</v>
      </c>
      <c r="G332" s="7" t="s">
        <v>1070</v>
      </c>
      <c r="H332" s="1">
        <v>0.81795000000000007</v>
      </c>
      <c r="I332" s="7" t="str">
        <f t="shared" si="5"/>
        <v>0,818</v>
      </c>
    </row>
    <row r="333" spans="1:9" x14ac:dyDescent="0.25">
      <c r="A333" s="7" t="s">
        <v>1462</v>
      </c>
      <c r="B333" s="3" t="s">
        <v>1249</v>
      </c>
      <c r="C333" s="7" t="s">
        <v>346</v>
      </c>
      <c r="D333" s="4" t="s">
        <v>28</v>
      </c>
      <c r="E333" s="5" t="s">
        <v>60</v>
      </c>
      <c r="F333" s="6">
        <v>0.81795000000000007</v>
      </c>
      <c r="G333" s="7" t="s">
        <v>1071</v>
      </c>
      <c r="H333" s="1">
        <v>0.81795000000000007</v>
      </c>
      <c r="I333" s="7" t="str">
        <f t="shared" si="5"/>
        <v>0,818</v>
      </c>
    </row>
    <row r="334" spans="1:9" x14ac:dyDescent="0.25">
      <c r="A334" s="7" t="s">
        <v>1463</v>
      </c>
      <c r="B334" s="3" t="s">
        <v>1250</v>
      </c>
      <c r="C334" s="7" t="s">
        <v>347</v>
      </c>
      <c r="D334" s="4" t="s">
        <v>28</v>
      </c>
      <c r="E334" s="5" t="s">
        <v>60</v>
      </c>
      <c r="F334" s="6">
        <v>0.81795000000000007</v>
      </c>
      <c r="G334" s="7" t="s">
        <v>1072</v>
      </c>
      <c r="H334" s="1">
        <v>0.81795000000000007</v>
      </c>
      <c r="I334" s="7" t="str">
        <f t="shared" si="5"/>
        <v>0,818</v>
      </c>
    </row>
    <row r="335" spans="1:9" x14ac:dyDescent="0.25">
      <c r="A335" s="7" t="s">
        <v>1464</v>
      </c>
      <c r="B335" s="3" t="s">
        <v>1251</v>
      </c>
      <c r="C335" s="7" t="s">
        <v>348</v>
      </c>
      <c r="D335" s="4" t="s">
        <v>28</v>
      </c>
      <c r="E335" s="5" t="s">
        <v>60</v>
      </c>
      <c r="F335" s="6">
        <v>0.81795000000000007</v>
      </c>
      <c r="G335" s="7" t="s">
        <v>1073</v>
      </c>
      <c r="H335" s="1">
        <v>0.81795000000000007</v>
      </c>
      <c r="I335" s="7" t="str">
        <f t="shared" si="5"/>
        <v>0,818</v>
      </c>
    </row>
    <row r="336" spans="1:9" x14ac:dyDescent="0.25">
      <c r="A336" s="7" t="s">
        <v>1465</v>
      </c>
      <c r="B336" s="3" t="s">
        <v>1252</v>
      </c>
      <c r="C336" s="7" t="s">
        <v>349</v>
      </c>
      <c r="D336" s="4" t="s">
        <v>28</v>
      </c>
      <c r="E336" s="5" t="s">
        <v>60</v>
      </c>
      <c r="F336" s="6">
        <v>1.1235000000000002</v>
      </c>
      <c r="G336" s="7" t="s">
        <v>1074</v>
      </c>
      <c r="H336" s="1">
        <v>1.1235000000000002</v>
      </c>
      <c r="I336" s="7" t="str">
        <f t="shared" si="5"/>
        <v>1,124</v>
      </c>
    </row>
    <row r="337" spans="1:9" x14ac:dyDescent="0.25">
      <c r="A337" s="7" t="s">
        <v>1466</v>
      </c>
      <c r="B337" s="3" t="s">
        <v>1253</v>
      </c>
      <c r="C337" s="7" t="s">
        <v>350</v>
      </c>
      <c r="D337" s="4" t="s">
        <v>28</v>
      </c>
      <c r="E337" s="5" t="s">
        <v>60</v>
      </c>
      <c r="F337" s="6">
        <v>1.1235000000000002</v>
      </c>
      <c r="G337" s="7" t="s">
        <v>1075</v>
      </c>
      <c r="H337" s="1">
        <v>1.1235000000000002</v>
      </c>
      <c r="I337" s="7" t="str">
        <f t="shared" si="5"/>
        <v>1,124</v>
      </c>
    </row>
    <row r="338" spans="1:9" x14ac:dyDescent="0.25">
      <c r="A338" s="7" t="s">
        <v>1467</v>
      </c>
      <c r="B338" s="3" t="s">
        <v>1254</v>
      </c>
      <c r="C338" s="7" t="s">
        <v>351</v>
      </c>
      <c r="D338" s="4" t="s">
        <v>28</v>
      </c>
      <c r="E338" s="5" t="s">
        <v>60</v>
      </c>
      <c r="F338" s="6">
        <v>1.1235000000000002</v>
      </c>
      <c r="G338" s="7" t="s">
        <v>1076</v>
      </c>
      <c r="H338" s="1">
        <v>1.1235000000000002</v>
      </c>
      <c r="I338" s="7" t="str">
        <f t="shared" si="5"/>
        <v>1,124</v>
      </c>
    </row>
    <row r="339" spans="1:9" x14ac:dyDescent="0.25">
      <c r="A339" s="7" t="s">
        <v>1468</v>
      </c>
      <c r="B339" s="3" t="s">
        <v>1255</v>
      </c>
      <c r="C339" s="7" t="s">
        <v>352</v>
      </c>
      <c r="D339" s="4" t="s">
        <v>28</v>
      </c>
      <c r="E339" s="5" t="s">
        <v>60</v>
      </c>
      <c r="F339" s="6">
        <v>1.1235000000000002</v>
      </c>
      <c r="G339" s="7" t="s">
        <v>1077</v>
      </c>
      <c r="H339" s="1">
        <v>1.1235000000000002</v>
      </c>
      <c r="I339" s="7" t="str">
        <f t="shared" si="5"/>
        <v>1,124</v>
      </c>
    </row>
    <row r="340" spans="1:9" x14ac:dyDescent="0.25">
      <c r="A340" s="7" t="s">
        <v>1469</v>
      </c>
      <c r="B340" s="3" t="s">
        <v>1268</v>
      </c>
      <c r="C340" s="7" t="s">
        <v>353</v>
      </c>
      <c r="D340" s="4" t="s">
        <v>28</v>
      </c>
      <c r="E340" s="5" t="s">
        <v>60</v>
      </c>
      <c r="F340" s="6">
        <v>1.1235000000000002</v>
      </c>
      <c r="G340" s="7" t="s">
        <v>1078</v>
      </c>
      <c r="H340" s="1">
        <v>1.1235000000000002</v>
      </c>
      <c r="I340" s="7" t="str">
        <f t="shared" si="5"/>
        <v>1,124</v>
      </c>
    </row>
    <row r="341" spans="1:9" x14ac:dyDescent="0.25">
      <c r="A341" s="7" t="s">
        <v>1520</v>
      </c>
      <c r="B341" s="3" t="s">
        <v>1256</v>
      </c>
      <c r="C341" s="7" t="s">
        <v>354</v>
      </c>
      <c r="D341" s="4" t="s">
        <v>28</v>
      </c>
      <c r="E341" s="5" t="s">
        <v>60</v>
      </c>
      <c r="F341" s="6">
        <v>1.1235000000000002</v>
      </c>
      <c r="G341" s="7" t="s">
        <v>1079</v>
      </c>
      <c r="H341" s="1">
        <v>1.1235000000000002</v>
      </c>
      <c r="I341" s="7" t="str">
        <f t="shared" si="5"/>
        <v>1,124</v>
      </c>
    </row>
    <row r="342" spans="1:9" x14ac:dyDescent="0.25">
      <c r="A342" s="7" t="s">
        <v>1470</v>
      </c>
      <c r="B342" s="3" t="s">
        <v>1257</v>
      </c>
      <c r="C342" s="7" t="s">
        <v>355</v>
      </c>
      <c r="D342" s="4" t="s">
        <v>28</v>
      </c>
      <c r="E342" s="5" t="s">
        <v>60</v>
      </c>
      <c r="F342" s="6">
        <v>0.81795000000000007</v>
      </c>
      <c r="G342" s="7" t="s">
        <v>1080</v>
      </c>
      <c r="H342" s="1">
        <v>0.81795000000000007</v>
      </c>
      <c r="I342" s="7" t="str">
        <f t="shared" si="5"/>
        <v>0,818</v>
      </c>
    </row>
    <row r="343" spans="1:9" x14ac:dyDescent="0.25">
      <c r="A343" s="7" t="s">
        <v>1471</v>
      </c>
      <c r="B343" s="3" t="s">
        <v>1258</v>
      </c>
      <c r="C343" s="7" t="s">
        <v>356</v>
      </c>
      <c r="D343" s="4" t="s">
        <v>28</v>
      </c>
      <c r="E343" s="5" t="s">
        <v>60</v>
      </c>
      <c r="F343" s="6">
        <v>0.81795000000000007</v>
      </c>
      <c r="G343" s="7" t="s">
        <v>1081</v>
      </c>
      <c r="H343" s="1">
        <v>0.81795000000000007</v>
      </c>
      <c r="I343" s="7" t="str">
        <f t="shared" si="5"/>
        <v>0,818</v>
      </c>
    </row>
    <row r="344" spans="1:9" x14ac:dyDescent="0.25">
      <c r="A344" s="7" t="s">
        <v>1472</v>
      </c>
      <c r="B344" s="3" t="s">
        <v>1259</v>
      </c>
      <c r="C344" s="7" t="s">
        <v>357</v>
      </c>
      <c r="D344" s="4" t="s">
        <v>28</v>
      </c>
      <c r="E344" s="5" t="s">
        <v>60</v>
      </c>
      <c r="F344" s="6">
        <v>0.81795000000000007</v>
      </c>
      <c r="G344" s="7" t="s">
        <v>1082</v>
      </c>
      <c r="H344" s="1">
        <v>0.81795000000000007</v>
      </c>
      <c r="I344" s="7" t="str">
        <f t="shared" si="5"/>
        <v>0,818</v>
      </c>
    </row>
    <row r="345" spans="1:9" x14ac:dyDescent="0.25">
      <c r="A345" s="7" t="s">
        <v>1473</v>
      </c>
      <c r="B345" s="3" t="s">
        <v>1260</v>
      </c>
      <c r="C345" s="7" t="s">
        <v>358</v>
      </c>
      <c r="D345" s="4" t="s">
        <v>28</v>
      </c>
      <c r="E345" s="5" t="s">
        <v>60</v>
      </c>
      <c r="F345" s="6">
        <v>0.81795000000000007</v>
      </c>
      <c r="G345" s="7" t="s">
        <v>1083</v>
      </c>
      <c r="H345" s="1">
        <v>0.81795000000000007</v>
      </c>
      <c r="I345" s="7" t="str">
        <f t="shared" si="5"/>
        <v>0,818</v>
      </c>
    </row>
    <row r="346" spans="1:9" x14ac:dyDescent="0.25">
      <c r="A346" s="7" t="s">
        <v>1474</v>
      </c>
      <c r="B346" s="3" t="s">
        <v>1267</v>
      </c>
      <c r="C346" s="7" t="s">
        <v>359</v>
      </c>
      <c r="D346" s="4" t="s">
        <v>28</v>
      </c>
      <c r="E346" s="5" t="s">
        <v>60</v>
      </c>
      <c r="F346" s="6">
        <v>0.81795000000000007</v>
      </c>
      <c r="G346" s="7" t="s">
        <v>1084</v>
      </c>
      <c r="H346" s="1">
        <v>0.81795000000000007</v>
      </c>
      <c r="I346" s="7" t="str">
        <f t="shared" si="5"/>
        <v>0,818</v>
      </c>
    </row>
    <row r="347" spans="1:9" x14ac:dyDescent="0.25">
      <c r="A347" s="7" t="s">
        <v>1475</v>
      </c>
      <c r="B347" s="3" t="s">
        <v>1261</v>
      </c>
      <c r="C347" s="7" t="s">
        <v>360</v>
      </c>
      <c r="D347" s="4" t="s">
        <v>28</v>
      </c>
      <c r="E347" s="5" t="s">
        <v>60</v>
      </c>
      <c r="F347" s="6">
        <v>0.81795000000000007</v>
      </c>
      <c r="G347" s="7" t="s">
        <v>1085</v>
      </c>
      <c r="H347" s="1">
        <v>0.81795000000000007</v>
      </c>
      <c r="I347" s="7" t="str">
        <f t="shared" si="5"/>
        <v>0,818</v>
      </c>
    </row>
    <row r="348" spans="1:9" x14ac:dyDescent="0.25">
      <c r="A348" s="7" t="s">
        <v>1476</v>
      </c>
      <c r="B348" s="3" t="s">
        <v>1262</v>
      </c>
      <c r="C348" s="7" t="s">
        <v>361</v>
      </c>
      <c r="D348" s="4" t="s">
        <v>28</v>
      </c>
      <c r="E348" s="5" t="s">
        <v>60</v>
      </c>
      <c r="F348" s="6">
        <v>0.81795000000000007</v>
      </c>
      <c r="G348" s="7" t="s">
        <v>1086</v>
      </c>
      <c r="H348" s="1">
        <v>0.81795000000000007</v>
      </c>
      <c r="I348" s="7" t="str">
        <f t="shared" si="5"/>
        <v>0,818</v>
      </c>
    </row>
    <row r="349" spans="1:9" x14ac:dyDescent="0.25">
      <c r="A349" s="7" t="s">
        <v>1477</v>
      </c>
      <c r="B349" s="3" t="s">
        <v>1263</v>
      </c>
      <c r="C349" s="7" t="s">
        <v>362</v>
      </c>
      <c r="D349" s="4" t="s">
        <v>28</v>
      </c>
      <c r="E349" s="5" t="s">
        <v>60</v>
      </c>
      <c r="F349" s="6">
        <v>0.81795000000000007</v>
      </c>
      <c r="G349" s="7" t="s">
        <v>1087</v>
      </c>
      <c r="H349" s="1">
        <v>0.81795000000000007</v>
      </c>
      <c r="I349" s="7" t="str">
        <f t="shared" si="5"/>
        <v>0,818</v>
      </c>
    </row>
    <row r="350" spans="1:9" x14ac:dyDescent="0.25">
      <c r="A350" s="7" t="s">
        <v>1478</v>
      </c>
      <c r="B350" s="3" t="s">
        <v>1264</v>
      </c>
      <c r="C350" s="7" t="s">
        <v>363</v>
      </c>
      <c r="D350" s="4" t="s">
        <v>28</v>
      </c>
      <c r="E350" s="5" t="s">
        <v>60</v>
      </c>
      <c r="F350" s="6">
        <v>0.81795000000000007</v>
      </c>
      <c r="G350" s="7" t="s">
        <v>1088</v>
      </c>
      <c r="H350" s="1">
        <v>0.81795000000000007</v>
      </c>
      <c r="I350" s="7" t="str">
        <f t="shared" si="5"/>
        <v>0,818</v>
      </c>
    </row>
    <row r="351" spans="1:9" x14ac:dyDescent="0.25">
      <c r="A351" s="7" t="s">
        <v>1479</v>
      </c>
      <c r="B351" s="3" t="s">
        <v>1265</v>
      </c>
      <c r="C351" s="7" t="s">
        <v>364</v>
      </c>
      <c r="D351" s="4" t="s">
        <v>28</v>
      </c>
      <c r="E351" s="5" t="s">
        <v>60</v>
      </c>
      <c r="F351" s="6">
        <v>0.81795000000000007</v>
      </c>
      <c r="G351" s="7" t="s">
        <v>1089</v>
      </c>
      <c r="H351" s="1">
        <v>0.81795000000000007</v>
      </c>
      <c r="I351" s="7" t="str">
        <f t="shared" si="5"/>
        <v>0,818</v>
      </c>
    </row>
    <row r="352" spans="1:9" x14ac:dyDescent="0.25">
      <c r="A352" s="7" t="s">
        <v>1480</v>
      </c>
      <c r="B352" s="3" t="s">
        <v>1266</v>
      </c>
      <c r="C352" s="7" t="s">
        <v>365</v>
      </c>
      <c r="D352" s="4" t="s">
        <v>28</v>
      </c>
      <c r="E352" s="5" t="s">
        <v>60</v>
      </c>
      <c r="F352" s="6">
        <v>0.81795000000000007</v>
      </c>
      <c r="G352" s="7" t="s">
        <v>1090</v>
      </c>
      <c r="H352" s="1">
        <v>0.81795000000000007</v>
      </c>
      <c r="I352" s="7" t="str">
        <f t="shared" si="5"/>
        <v>0,818</v>
      </c>
    </row>
    <row r="353" spans="1:9" x14ac:dyDescent="0.25">
      <c r="A353" s="7" t="s">
        <v>1481</v>
      </c>
      <c r="B353" s="3" t="s">
        <v>1374</v>
      </c>
      <c r="C353" s="4" t="s">
        <v>366</v>
      </c>
      <c r="D353" s="4" t="s">
        <v>28</v>
      </c>
      <c r="E353" s="5" t="s">
        <v>367</v>
      </c>
      <c r="F353" s="6">
        <v>0.32954248366013073</v>
      </c>
      <c r="G353" s="7" t="s">
        <v>1091</v>
      </c>
      <c r="H353" s="1">
        <v>0.32954248366013073</v>
      </c>
      <c r="I353" s="7" t="str">
        <f t="shared" si="5"/>
        <v>0,330</v>
      </c>
    </row>
    <row r="354" spans="1:9" x14ac:dyDescent="0.25">
      <c r="A354" s="7" t="s">
        <v>1482</v>
      </c>
      <c r="B354" s="3" t="s">
        <v>1391</v>
      </c>
      <c r="C354" s="4" t="s">
        <v>368</v>
      </c>
      <c r="D354" s="4" t="s">
        <v>28</v>
      </c>
      <c r="E354" s="5" t="s">
        <v>6</v>
      </c>
      <c r="F354" s="6">
        <v>11.22650130548303</v>
      </c>
      <c r="G354" s="7" t="s">
        <v>1092</v>
      </c>
      <c r="H354" s="1">
        <v>11.22650130548303</v>
      </c>
      <c r="I354" s="7" t="str">
        <f t="shared" si="5"/>
        <v>11,227</v>
      </c>
    </row>
    <row r="355" spans="1:9" x14ac:dyDescent="0.25">
      <c r="A355" s="7" t="s">
        <v>1521</v>
      </c>
      <c r="B355" s="3" t="s">
        <v>1478</v>
      </c>
      <c r="C355" s="4" t="s">
        <v>369</v>
      </c>
      <c r="D355" s="4" t="s">
        <v>28</v>
      </c>
      <c r="E355" s="5" t="s">
        <v>6</v>
      </c>
      <c r="F355" s="6">
        <v>9.5541769973890354</v>
      </c>
      <c r="G355" s="7" t="s">
        <v>1093</v>
      </c>
      <c r="H355" s="1">
        <v>9.5541769973890354</v>
      </c>
      <c r="I355" s="7" t="str">
        <f t="shared" si="5"/>
        <v>9,554</v>
      </c>
    </row>
    <row r="356" spans="1:9" x14ac:dyDescent="0.25">
      <c r="A356" s="7" t="s">
        <v>1483</v>
      </c>
      <c r="B356" s="3" t="s">
        <v>1359</v>
      </c>
      <c r="C356" s="4" t="s">
        <v>370</v>
      </c>
      <c r="D356" s="4" t="s">
        <v>28</v>
      </c>
      <c r="E356" s="5" t="s">
        <v>371</v>
      </c>
      <c r="F356" s="6">
        <v>0.63396935241874675</v>
      </c>
      <c r="G356" s="7" t="s">
        <v>1094</v>
      </c>
      <c r="H356" s="1">
        <v>0.63396935241874675</v>
      </c>
      <c r="I356" s="7" t="str">
        <f t="shared" si="5"/>
        <v>0,634</v>
      </c>
    </row>
    <row r="357" spans="1:9" x14ac:dyDescent="0.25">
      <c r="A357" s="7" t="s">
        <v>1484</v>
      </c>
      <c r="B357" s="3" t="s">
        <v>1360</v>
      </c>
      <c r="C357" s="4" t="s">
        <v>372</v>
      </c>
      <c r="D357" s="4" t="s">
        <v>28</v>
      </c>
      <c r="E357" s="5" t="s">
        <v>371</v>
      </c>
      <c r="F357" s="6">
        <v>0.63396935241874675</v>
      </c>
      <c r="G357" s="7" t="s">
        <v>1095</v>
      </c>
      <c r="H357" s="1">
        <v>0.63396935241874675</v>
      </c>
      <c r="I357" s="7" t="str">
        <f t="shared" si="5"/>
        <v>0,634</v>
      </c>
    </row>
    <row r="358" spans="1:9" x14ac:dyDescent="0.25">
      <c r="A358" s="7" t="s">
        <v>1485</v>
      </c>
      <c r="B358" s="3" t="s">
        <v>1361</v>
      </c>
      <c r="C358" s="4" t="s">
        <v>373</v>
      </c>
      <c r="D358" s="4" t="s">
        <v>28</v>
      </c>
      <c r="E358" s="5" t="s">
        <v>371</v>
      </c>
      <c r="F358" s="6">
        <v>0.63396935241874675</v>
      </c>
      <c r="G358" s="7" t="s">
        <v>1096</v>
      </c>
      <c r="H358" s="1">
        <v>0.63396935241874675</v>
      </c>
      <c r="I358" s="7" t="str">
        <f t="shared" si="5"/>
        <v>0,634</v>
      </c>
    </row>
    <row r="359" spans="1:9" x14ac:dyDescent="0.25">
      <c r="A359" s="7" t="s">
        <v>1486</v>
      </c>
      <c r="B359" s="3" t="s">
        <v>1362</v>
      </c>
      <c r="C359" s="4" t="s">
        <v>374</v>
      </c>
      <c r="D359" s="4" t="s">
        <v>28</v>
      </c>
      <c r="E359" s="5" t="s">
        <v>371</v>
      </c>
      <c r="F359" s="6">
        <v>0.63396935241874675</v>
      </c>
      <c r="G359" s="7" t="s">
        <v>1097</v>
      </c>
      <c r="H359" s="1">
        <v>0.63396935241874675</v>
      </c>
      <c r="I359" s="7" t="str">
        <f t="shared" si="5"/>
        <v>0,634</v>
      </c>
    </row>
    <row r="360" spans="1:9" x14ac:dyDescent="0.25">
      <c r="A360" s="7" t="s">
        <v>1487</v>
      </c>
      <c r="B360" s="3" t="s">
        <v>1270</v>
      </c>
      <c r="C360" s="4" t="s">
        <v>375</v>
      </c>
      <c r="D360" s="4" t="s">
        <v>28</v>
      </c>
      <c r="E360" s="5" t="s">
        <v>60</v>
      </c>
      <c r="F360" s="6">
        <v>1.3301408450704224</v>
      </c>
      <c r="G360" s="7" t="s">
        <v>1098</v>
      </c>
      <c r="H360" s="1">
        <v>1.3301408450704224</v>
      </c>
      <c r="I360" s="7" t="str">
        <f t="shared" si="5"/>
        <v>1,330</v>
      </c>
    </row>
    <row r="361" spans="1:9" x14ac:dyDescent="0.25">
      <c r="A361" s="7" t="s">
        <v>1488</v>
      </c>
      <c r="B361" s="3" t="s">
        <v>1271</v>
      </c>
      <c r="C361" s="4" t="s">
        <v>376</v>
      </c>
      <c r="D361" s="4" t="s">
        <v>28</v>
      </c>
      <c r="E361" s="5" t="s">
        <v>60</v>
      </c>
      <c r="F361" s="6">
        <v>1.3301408450704224</v>
      </c>
      <c r="G361" s="7" t="s">
        <v>1099</v>
      </c>
      <c r="H361" s="1">
        <v>1.3301408450704224</v>
      </c>
      <c r="I361" s="7" t="str">
        <f t="shared" si="5"/>
        <v>1,330</v>
      </c>
    </row>
    <row r="362" spans="1:9" x14ac:dyDescent="0.25">
      <c r="A362" s="7" t="s">
        <v>1489</v>
      </c>
      <c r="B362" s="3" t="s">
        <v>1272</v>
      </c>
      <c r="C362" s="4" t="s">
        <v>377</v>
      </c>
      <c r="D362" s="4" t="s">
        <v>28</v>
      </c>
      <c r="E362" s="5" t="s">
        <v>60</v>
      </c>
      <c r="F362" s="6">
        <v>1.3301408450704224</v>
      </c>
      <c r="G362" s="7" t="s">
        <v>1100</v>
      </c>
      <c r="H362" s="1">
        <v>1.3301408450704224</v>
      </c>
      <c r="I362" s="7" t="str">
        <f t="shared" si="5"/>
        <v>1,330</v>
      </c>
    </row>
    <row r="363" spans="1:9" x14ac:dyDescent="0.25">
      <c r="A363" s="7" t="s">
        <v>1490</v>
      </c>
      <c r="B363" s="3" t="s">
        <v>1273</v>
      </c>
      <c r="C363" s="4" t="s">
        <v>378</v>
      </c>
      <c r="D363" s="4" t="s">
        <v>28</v>
      </c>
      <c r="E363" s="5" t="s">
        <v>60</v>
      </c>
      <c r="F363" s="6">
        <v>1.3301408450704224</v>
      </c>
      <c r="G363" s="7" t="s">
        <v>1101</v>
      </c>
      <c r="H363" s="1">
        <v>1.3301408450704224</v>
      </c>
      <c r="I363" s="7" t="str">
        <f t="shared" si="5"/>
        <v>1,330</v>
      </c>
    </row>
    <row r="364" spans="1:9" x14ac:dyDescent="0.25">
      <c r="A364" s="7" t="s">
        <v>1491</v>
      </c>
      <c r="B364" s="3" t="s">
        <v>1274</v>
      </c>
      <c r="C364" s="4" t="s">
        <v>379</v>
      </c>
      <c r="D364" s="4" t="s">
        <v>28</v>
      </c>
      <c r="E364" s="5" t="s">
        <v>60</v>
      </c>
      <c r="F364" s="6">
        <v>1.3001408450704226</v>
      </c>
      <c r="G364" s="7" t="s">
        <v>1102</v>
      </c>
      <c r="H364" s="1">
        <v>1.3001408450704226</v>
      </c>
      <c r="I364" s="7" t="str">
        <f t="shared" si="5"/>
        <v>1,300</v>
      </c>
    </row>
    <row r="365" spans="1:9" x14ac:dyDescent="0.25">
      <c r="A365" s="7" t="s">
        <v>1492</v>
      </c>
      <c r="B365" s="3" t="s">
        <v>1275</v>
      </c>
      <c r="C365" s="4" t="s">
        <v>380</v>
      </c>
      <c r="D365" s="4" t="s">
        <v>28</v>
      </c>
      <c r="E365" s="5" t="s">
        <v>60</v>
      </c>
      <c r="F365" s="6">
        <v>1.3301408450704224</v>
      </c>
      <c r="G365" s="7" t="s">
        <v>1103</v>
      </c>
      <c r="H365" s="1">
        <v>1.3301408450704224</v>
      </c>
      <c r="I365" s="7" t="str">
        <f t="shared" si="5"/>
        <v>1,330</v>
      </c>
    </row>
    <row r="366" spans="1:9" x14ac:dyDescent="0.25">
      <c r="A366" s="7" t="s">
        <v>1493</v>
      </c>
      <c r="B366" s="3" t="s">
        <v>1276</v>
      </c>
      <c r="C366" s="4" t="s">
        <v>381</v>
      </c>
      <c r="D366" s="4" t="s">
        <v>28</v>
      </c>
      <c r="E366" s="5" t="s">
        <v>60</v>
      </c>
      <c r="F366" s="6">
        <v>1.3301408450704224</v>
      </c>
      <c r="G366" s="7" t="s">
        <v>1104</v>
      </c>
      <c r="H366" s="1">
        <v>1.3301408450704224</v>
      </c>
      <c r="I366" s="7" t="str">
        <f t="shared" si="5"/>
        <v>1,330</v>
      </c>
    </row>
    <row r="367" spans="1:9" x14ac:dyDescent="0.25">
      <c r="A367" s="7" t="s">
        <v>1494</v>
      </c>
      <c r="B367" s="3" t="s">
        <v>1277</v>
      </c>
      <c r="C367" s="4" t="s">
        <v>382</v>
      </c>
      <c r="D367" s="4" t="s">
        <v>28</v>
      </c>
      <c r="E367" s="5" t="s">
        <v>60</v>
      </c>
      <c r="F367" s="6">
        <v>1.3301408450704224</v>
      </c>
      <c r="G367" s="7" t="s">
        <v>1105</v>
      </c>
      <c r="H367" s="1">
        <v>1.3301408450704224</v>
      </c>
      <c r="I367" s="7" t="str">
        <f t="shared" si="5"/>
        <v>1,330</v>
      </c>
    </row>
    <row r="368" spans="1:9" x14ac:dyDescent="0.25">
      <c r="A368" s="7" t="s">
        <v>1495</v>
      </c>
      <c r="B368" s="3" t="s">
        <v>1278</v>
      </c>
      <c r="C368" s="4" t="s">
        <v>383</v>
      </c>
      <c r="D368" s="4" t="s">
        <v>28</v>
      </c>
      <c r="E368" s="5" t="s">
        <v>60</v>
      </c>
      <c r="F368" s="6">
        <v>1.3301408450704224</v>
      </c>
      <c r="G368" s="7" t="s">
        <v>1106</v>
      </c>
      <c r="H368" s="1">
        <v>1.3301408450704224</v>
      </c>
      <c r="I368" s="7" t="str">
        <f t="shared" si="5"/>
        <v>1,330</v>
      </c>
    </row>
    <row r="369" spans="1:9" x14ac:dyDescent="0.25">
      <c r="A369" s="7" t="s">
        <v>1496</v>
      </c>
      <c r="B369" s="3" t="s">
        <v>1279</v>
      </c>
      <c r="C369" s="4" t="s">
        <v>384</v>
      </c>
      <c r="D369" s="4" t="s">
        <v>28</v>
      </c>
      <c r="E369" s="5" t="s">
        <v>60</v>
      </c>
      <c r="F369" s="6">
        <v>1.3301408450704224</v>
      </c>
      <c r="G369" s="7" t="s">
        <v>1107</v>
      </c>
      <c r="H369" s="1">
        <v>1.3301408450704224</v>
      </c>
      <c r="I369" s="7" t="str">
        <f t="shared" si="5"/>
        <v>1,330</v>
      </c>
    </row>
    <row r="370" spans="1:9" x14ac:dyDescent="0.25">
      <c r="A370" s="7" t="s">
        <v>1497</v>
      </c>
      <c r="B370" s="3" t="s">
        <v>1280</v>
      </c>
      <c r="C370" s="4" t="s">
        <v>384</v>
      </c>
      <c r="D370" s="4" t="s">
        <v>28</v>
      </c>
      <c r="E370" s="5" t="s">
        <v>60</v>
      </c>
      <c r="F370" s="6">
        <v>1.3301408450704224</v>
      </c>
      <c r="G370" s="7" t="s">
        <v>1108</v>
      </c>
      <c r="H370" s="1">
        <v>1.3301408450704224</v>
      </c>
      <c r="I370" s="7" t="str">
        <f t="shared" si="5"/>
        <v>1,330</v>
      </c>
    </row>
    <row r="371" spans="1:9" x14ac:dyDescent="0.25">
      <c r="A371" s="7" t="s">
        <v>1498</v>
      </c>
      <c r="B371" s="3" t="s">
        <v>1269</v>
      </c>
      <c r="C371" s="4" t="s">
        <v>385</v>
      </c>
      <c r="D371" s="4" t="s">
        <v>28</v>
      </c>
      <c r="E371" s="5" t="s">
        <v>6</v>
      </c>
      <c r="F371" s="6">
        <v>10.376631305483029</v>
      </c>
      <c r="G371" s="7" t="s">
        <v>1109</v>
      </c>
      <c r="H371" s="1">
        <v>10.376631305483029</v>
      </c>
      <c r="I371" s="7" t="str">
        <f t="shared" si="5"/>
        <v>10,377</v>
      </c>
    </row>
    <row r="372" spans="1:9" x14ac:dyDescent="0.25">
      <c r="A372" s="7" t="s">
        <v>1499</v>
      </c>
      <c r="B372" s="3" t="s">
        <v>1470</v>
      </c>
      <c r="C372" s="4" t="s">
        <v>386</v>
      </c>
      <c r="D372" s="4" t="s">
        <v>28</v>
      </c>
      <c r="E372" s="5" t="s">
        <v>6</v>
      </c>
      <c r="F372" s="6">
        <f>30.56/68</f>
        <v>0.44941176470588234</v>
      </c>
      <c r="G372" s="7" t="s">
        <v>1110</v>
      </c>
      <c r="H372" s="1">
        <v>0.44941176470588234</v>
      </c>
      <c r="I372" s="7" t="str">
        <f t="shared" si="5"/>
        <v>0,449</v>
      </c>
    </row>
    <row r="373" spans="1:9" x14ac:dyDescent="0.25">
      <c r="A373" s="7" t="s">
        <v>1500</v>
      </c>
      <c r="B373" s="3" t="s">
        <v>1281</v>
      </c>
      <c r="C373" s="4" t="s">
        <v>387</v>
      </c>
      <c r="D373" s="4" t="s">
        <v>28</v>
      </c>
      <c r="E373" s="5" t="s">
        <v>6</v>
      </c>
      <c r="F373" s="6">
        <v>15.0234981462141</v>
      </c>
      <c r="G373" s="7" t="s">
        <v>1111</v>
      </c>
      <c r="H373" s="1">
        <v>15.0234981462141</v>
      </c>
      <c r="I373" s="7" t="str">
        <f t="shared" si="5"/>
        <v>15,023</v>
      </c>
    </row>
    <row r="374" spans="1:9" x14ac:dyDescent="0.25">
      <c r="A374" s="7" t="s">
        <v>1501</v>
      </c>
      <c r="B374" s="3" t="s">
        <v>1282</v>
      </c>
      <c r="C374" s="4" t="s">
        <v>388</v>
      </c>
      <c r="D374" s="4" t="s">
        <v>28</v>
      </c>
      <c r="E374" s="5" t="s">
        <v>60</v>
      </c>
      <c r="F374" s="6">
        <v>2.6296258746397334</v>
      </c>
      <c r="G374" s="7" t="s">
        <v>1112</v>
      </c>
      <c r="H374" s="1">
        <v>2.6296258746397334</v>
      </c>
      <c r="I374" s="7" t="str">
        <f t="shared" si="5"/>
        <v>2,630</v>
      </c>
    </row>
    <row r="375" spans="1:9" x14ac:dyDescent="0.25">
      <c r="A375" s="7" t="s">
        <v>1502</v>
      </c>
      <c r="B375" s="3" t="s">
        <v>1283</v>
      </c>
      <c r="C375" s="4" t="s">
        <v>389</v>
      </c>
      <c r="D375" s="4" t="s">
        <v>28</v>
      </c>
      <c r="E375" s="5" t="s">
        <v>60</v>
      </c>
      <c r="F375" s="6">
        <v>2.1913548955331112</v>
      </c>
      <c r="G375" s="7" t="s">
        <v>1113</v>
      </c>
      <c r="H375" s="1">
        <v>2.1913548955331112</v>
      </c>
      <c r="I375" s="7" t="str">
        <f t="shared" si="5"/>
        <v>2,191</v>
      </c>
    </row>
    <row r="376" spans="1:9" x14ac:dyDescent="0.25">
      <c r="A376" s="7" t="s">
        <v>1503</v>
      </c>
      <c r="B376" s="3" t="s">
        <v>1284</v>
      </c>
      <c r="C376" s="4" t="s">
        <v>390</v>
      </c>
      <c r="D376" s="4" t="s">
        <v>28</v>
      </c>
      <c r="E376" s="5" t="s">
        <v>60</v>
      </c>
      <c r="F376" s="6">
        <v>2.1913548955331112</v>
      </c>
      <c r="G376" s="7" t="s">
        <v>1114</v>
      </c>
      <c r="H376" s="1">
        <v>2.1913548955331112</v>
      </c>
      <c r="I376" s="7" t="str">
        <f t="shared" si="5"/>
        <v>2,191</v>
      </c>
    </row>
    <row r="377" spans="1:9" x14ac:dyDescent="0.25">
      <c r="A377" s="7" t="s">
        <v>1504</v>
      </c>
      <c r="B377" s="68" t="s">
        <v>1285</v>
      </c>
      <c r="C377" s="4" t="s">
        <v>391</v>
      </c>
      <c r="D377" s="4" t="s">
        <v>28</v>
      </c>
      <c r="E377" s="5" t="s">
        <v>60</v>
      </c>
      <c r="F377" s="6">
        <v>2.6296258746397334</v>
      </c>
      <c r="G377" s="7" t="s">
        <v>1115</v>
      </c>
      <c r="H377" s="1">
        <v>2.6296258746397334</v>
      </c>
      <c r="I377" s="7" t="str">
        <f t="shared" si="5"/>
        <v>2,630</v>
      </c>
    </row>
    <row r="378" spans="1:9" x14ac:dyDescent="0.25">
      <c r="A378" s="7" t="s">
        <v>1505</v>
      </c>
      <c r="B378" s="3" t="s">
        <v>1302</v>
      </c>
      <c r="C378" s="7" t="s">
        <v>392</v>
      </c>
      <c r="D378" s="4" t="s">
        <v>28</v>
      </c>
      <c r="E378" s="5" t="s">
        <v>60</v>
      </c>
      <c r="F378" s="6">
        <v>0.81795000000000007</v>
      </c>
      <c r="G378" s="7" t="s">
        <v>1116</v>
      </c>
      <c r="H378" s="1">
        <v>0.81795000000000007</v>
      </c>
      <c r="I378" s="7" t="str">
        <f t="shared" si="5"/>
        <v>0,818</v>
      </c>
    </row>
    <row r="379" spans="1:9" x14ac:dyDescent="0.25">
      <c r="A379" s="7" t="s">
        <v>1506</v>
      </c>
      <c r="B379" s="3" t="s">
        <v>1514</v>
      </c>
      <c r="C379" s="4" t="s">
        <v>393</v>
      </c>
      <c r="D379" s="4" t="s">
        <v>28</v>
      </c>
      <c r="E379" s="5" t="s">
        <v>217</v>
      </c>
      <c r="F379" s="6" t="e">
        <f>663.26/1/#REF!</f>
        <v>#REF!</v>
      </c>
      <c r="G379" s="7" t="s">
        <v>1117</v>
      </c>
      <c r="H379" s="1">
        <v>7.2093478260869563</v>
      </c>
      <c r="I379" s="7" t="str">
        <f t="shared" si="5"/>
        <v>7,209</v>
      </c>
    </row>
    <row r="380" spans="1:9" x14ac:dyDescent="0.25">
      <c r="A380" s="7" t="s">
        <v>1507</v>
      </c>
      <c r="B380" s="3" t="s">
        <v>1376</v>
      </c>
      <c r="C380" s="4" t="s">
        <v>394</v>
      </c>
      <c r="D380" s="4" t="s">
        <v>28</v>
      </c>
      <c r="E380" s="5" t="s">
        <v>6</v>
      </c>
      <c r="F380" s="6">
        <v>1.0321854304635762</v>
      </c>
      <c r="G380" s="7" t="s">
        <v>1118</v>
      </c>
      <c r="H380" s="1">
        <v>1.0321854304635762</v>
      </c>
      <c r="I380" s="7" t="str">
        <f t="shared" si="5"/>
        <v>1,032</v>
      </c>
    </row>
    <row r="381" spans="1:9" x14ac:dyDescent="0.25">
      <c r="A381" s="7" t="s">
        <v>1508</v>
      </c>
      <c r="B381" s="3" t="s">
        <v>1375</v>
      </c>
      <c r="C381" s="4" t="s">
        <v>395</v>
      </c>
      <c r="D381" s="4" t="s">
        <v>28</v>
      </c>
      <c r="E381" s="5" t="s">
        <v>6</v>
      </c>
      <c r="F381" s="6">
        <v>0.92886075949367086</v>
      </c>
      <c r="G381" s="7" t="s">
        <v>1119</v>
      </c>
      <c r="H381" s="1">
        <v>0.92886075949367086</v>
      </c>
      <c r="I381" s="7" t="str">
        <f t="shared" si="5"/>
        <v>0,929</v>
      </c>
    </row>
    <row r="382" spans="1:9" x14ac:dyDescent="0.25">
      <c r="A382" s="7" t="s">
        <v>1509</v>
      </c>
      <c r="B382" s="3" t="s">
        <v>1377</v>
      </c>
      <c r="C382" s="4" t="s">
        <v>396</v>
      </c>
      <c r="D382" s="4" t="s">
        <v>28</v>
      </c>
      <c r="E382" s="5" t="s">
        <v>6</v>
      </c>
      <c r="F382" s="6">
        <v>2.2115032679738564</v>
      </c>
      <c r="G382" s="7" t="s">
        <v>1120</v>
      </c>
      <c r="H382" s="1">
        <v>2.2115032679738564</v>
      </c>
      <c r="I382" s="7" t="str">
        <f t="shared" si="5"/>
        <v>2,212</v>
      </c>
    </row>
    <row r="383" spans="1:9" x14ac:dyDescent="0.25">
      <c r="A383" s="7" t="s">
        <v>1510</v>
      </c>
      <c r="B383" s="3" t="s">
        <v>1378</v>
      </c>
      <c r="C383" s="4" t="s">
        <v>397</v>
      </c>
      <c r="D383" s="4" t="s">
        <v>28</v>
      </c>
      <c r="E383" s="5" t="s">
        <v>6</v>
      </c>
      <c r="F383" s="6">
        <v>2.2115032679738564</v>
      </c>
      <c r="G383" s="7" t="s">
        <v>1121</v>
      </c>
      <c r="H383" s="1">
        <v>2.2115032679738564</v>
      </c>
      <c r="I383" s="7" t="str">
        <f t="shared" si="5"/>
        <v>2,212</v>
      </c>
    </row>
    <row r="384" spans="1:9" x14ac:dyDescent="0.25">
      <c r="A384" s="7" t="s">
        <v>1511</v>
      </c>
      <c r="B384" s="3" t="s">
        <v>1370</v>
      </c>
      <c r="C384" s="4" t="s">
        <v>398</v>
      </c>
      <c r="D384" s="4" t="s">
        <v>28</v>
      </c>
      <c r="E384" s="5" t="s">
        <v>6</v>
      </c>
      <c r="F384" s="6">
        <v>1.2983544303797467</v>
      </c>
      <c r="G384" s="7" t="s">
        <v>1122</v>
      </c>
      <c r="H384" s="1">
        <v>1.2983544303797467</v>
      </c>
      <c r="I384" s="7" t="str">
        <f t="shared" si="5"/>
        <v>1,298</v>
      </c>
    </row>
    <row r="385" spans="1:9" x14ac:dyDescent="0.25">
      <c r="A385" s="7" t="s">
        <v>1512</v>
      </c>
      <c r="B385" s="3" t="s">
        <v>1371</v>
      </c>
      <c r="C385" s="4" t="s">
        <v>399</v>
      </c>
      <c r="D385" s="4" t="s">
        <v>28</v>
      </c>
      <c r="E385" s="5" t="s">
        <v>6</v>
      </c>
      <c r="F385" s="6" t="e">
        <f>133.02/#REF!</f>
        <v>#REF!</v>
      </c>
      <c r="G385" s="7" t="s">
        <v>1123</v>
      </c>
      <c r="H385" s="1">
        <v>1.4458695652173914</v>
      </c>
      <c r="I385" s="7" t="str">
        <f t="shared" si="5"/>
        <v>1,446</v>
      </c>
    </row>
    <row r="386" spans="1:9" x14ac:dyDescent="0.25">
      <c r="A386" s="7" t="s">
        <v>1513</v>
      </c>
      <c r="B386" s="3" t="s">
        <v>1286</v>
      </c>
      <c r="C386" s="4" t="s">
        <v>400</v>
      </c>
      <c r="D386" s="4" t="s">
        <v>28</v>
      </c>
      <c r="E386" s="5" t="s">
        <v>60</v>
      </c>
      <c r="F386" s="6">
        <v>27.39193619416389</v>
      </c>
      <c r="G386" s="7" t="s">
        <v>1124</v>
      </c>
      <c r="H386" s="1">
        <v>27.39193619416389</v>
      </c>
      <c r="I386" s="7" t="str">
        <f t="shared" ref="I386:I392" si="6">FIXED(H386,3)</f>
        <v>27,392</v>
      </c>
    </row>
    <row r="387" spans="1:9" x14ac:dyDescent="0.25">
      <c r="A387" s="7" t="s">
        <v>1514</v>
      </c>
      <c r="B387" s="3" t="s">
        <v>1287</v>
      </c>
      <c r="C387" s="4" t="s">
        <v>401</v>
      </c>
      <c r="D387" s="4" t="s">
        <v>28</v>
      </c>
      <c r="E387" s="5" t="s">
        <v>60</v>
      </c>
      <c r="F387" s="6">
        <v>1.05</v>
      </c>
      <c r="G387" s="7" t="s">
        <v>1125</v>
      </c>
      <c r="H387" s="1">
        <v>1.05</v>
      </c>
      <c r="I387" s="7" t="str">
        <f t="shared" si="6"/>
        <v>1,050</v>
      </c>
    </row>
    <row r="388" spans="1:9" x14ac:dyDescent="0.25">
      <c r="A388" s="7" t="s">
        <v>1515</v>
      </c>
      <c r="B388" s="3" t="s">
        <v>1307</v>
      </c>
      <c r="C388" s="4" t="s">
        <v>402</v>
      </c>
      <c r="D388" s="4" t="s">
        <v>28</v>
      </c>
      <c r="E388" s="5" t="s">
        <v>60</v>
      </c>
      <c r="F388" s="6">
        <v>1.05</v>
      </c>
      <c r="G388" s="7" t="s">
        <v>1126</v>
      </c>
      <c r="H388" s="1">
        <v>1.05</v>
      </c>
      <c r="I388" s="7" t="str">
        <f t="shared" si="6"/>
        <v>1,050</v>
      </c>
    </row>
    <row r="389" spans="1:9" x14ac:dyDescent="0.25">
      <c r="A389" s="7" t="s">
        <v>1516</v>
      </c>
      <c r="B389" s="3" t="s">
        <v>1308</v>
      </c>
      <c r="C389" s="4" t="s">
        <v>403</v>
      </c>
      <c r="D389" s="4" t="s">
        <v>28</v>
      </c>
      <c r="E389" s="5" t="s">
        <v>60</v>
      </c>
      <c r="F389" s="6">
        <v>1.3677631578947369</v>
      </c>
      <c r="G389" s="7" t="s">
        <v>1127</v>
      </c>
      <c r="H389" s="1">
        <v>1.3677631578947369</v>
      </c>
      <c r="I389" s="7" t="str">
        <f t="shared" si="6"/>
        <v>1,368</v>
      </c>
    </row>
    <row r="390" spans="1:9" x14ac:dyDescent="0.25">
      <c r="A390" s="7" t="s">
        <v>1517</v>
      </c>
      <c r="B390" s="3" t="s">
        <v>1496</v>
      </c>
      <c r="C390" s="4" t="s">
        <v>404</v>
      </c>
      <c r="D390" s="4" t="s">
        <v>28</v>
      </c>
      <c r="E390" s="5" t="s">
        <v>6</v>
      </c>
      <c r="F390" s="6">
        <v>3.8381195561357706</v>
      </c>
      <c r="G390" s="7" t="s">
        <v>1128</v>
      </c>
      <c r="H390" s="1">
        <v>3.8381195561357706</v>
      </c>
      <c r="I390" s="7" t="str">
        <f t="shared" si="6"/>
        <v>3,838</v>
      </c>
    </row>
    <row r="391" spans="1:9" x14ac:dyDescent="0.25">
      <c r="A391" s="7" t="s">
        <v>1518</v>
      </c>
      <c r="B391" s="3" t="s">
        <v>1497</v>
      </c>
      <c r="C391" s="4" t="s">
        <v>405</v>
      </c>
      <c r="D391" s="4" t="s">
        <v>28</v>
      </c>
      <c r="E391" s="5" t="s">
        <v>6</v>
      </c>
      <c r="F391" s="6">
        <v>6.5796344647519591</v>
      </c>
      <c r="G391" s="7" t="s">
        <v>1129</v>
      </c>
      <c r="H391" s="1">
        <v>6.5796344647519591</v>
      </c>
      <c r="I391" s="7" t="str">
        <f t="shared" si="6"/>
        <v>6,580</v>
      </c>
    </row>
    <row r="392" spans="1:9" x14ac:dyDescent="0.25">
      <c r="A392" s="7" t="s">
        <v>1519</v>
      </c>
      <c r="B392" s="3" t="s">
        <v>1393</v>
      </c>
      <c r="C392" s="4" t="s">
        <v>406</v>
      </c>
      <c r="D392" s="4" t="s">
        <v>28</v>
      </c>
      <c r="E392" s="5" t="s">
        <v>6</v>
      </c>
      <c r="F392" s="6">
        <v>2.2599999999999998</v>
      </c>
      <c r="G392" s="7" t="s">
        <v>1130</v>
      </c>
      <c r="H392" s="1">
        <v>2.2599999999999998</v>
      </c>
      <c r="I392" s="7" t="str">
        <f t="shared" si="6"/>
        <v>2,260</v>
      </c>
    </row>
    <row r="393" spans="1:9" x14ac:dyDescent="0.25">
      <c r="B393" s="3"/>
      <c r="C393" s="4"/>
      <c r="D393" s="4"/>
      <c r="E393" s="5"/>
      <c r="F393" s="69"/>
    </row>
  </sheetData>
  <autoFilter ref="A1:G1" xr:uid="{B344FA47-B27E-4AF2-8A3A-297A9D430A38}"/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E5038-56B5-4B90-80E4-2944F17FE20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029A7-AD21-444E-BAB4-6B0FB2A3F7DF}">
  <dimension ref="A1:J95"/>
  <sheetViews>
    <sheetView tabSelected="1" topLeftCell="A4" workbookViewId="0">
      <selection activeCell="E27" sqref="E27"/>
    </sheetView>
  </sheetViews>
  <sheetFormatPr defaultRowHeight="15" x14ac:dyDescent="0.25"/>
  <cols>
    <col min="1" max="1" width="12.140625" customWidth="1"/>
    <col min="2" max="3" width="10.28515625" customWidth="1"/>
    <col min="4" max="4" width="10.28515625" style="1" customWidth="1"/>
    <col min="5" max="10" width="10.28515625" customWidth="1"/>
  </cols>
  <sheetData>
    <row r="1" spans="1:10" x14ac:dyDescent="0.25">
      <c r="A1" t="str">
        <f>table02_01!Q2&amp;table02_01!W1&amp;table02_01!T2</f>
        <v>0000000001tel1_03</v>
      </c>
      <c r="E1" s="8"/>
      <c r="F1" s="14"/>
      <c r="G1" s="15"/>
      <c r="H1" s="15"/>
      <c r="I1" s="16"/>
      <c r="J1" s="17"/>
    </row>
    <row r="2" spans="1:10" x14ac:dyDescent="0.25">
      <c r="A2" t="str">
        <f>table02_01!Q3&amp;table02_01!W2&amp;table02_01!T3</f>
        <v xml:space="preserve">0000000002Лиля (Больница)                                                                                                                                                                     </v>
      </c>
      <c r="E2" s="20"/>
      <c r="F2" s="18"/>
      <c r="G2" s="19"/>
      <c r="H2" s="19"/>
      <c r="I2" s="18"/>
      <c r="J2" s="17"/>
    </row>
    <row r="3" spans="1:10" x14ac:dyDescent="0.25">
      <c r="A3" t="str">
        <f>table02_01!Q4&amp;table02_01!W3&amp;table02_01!T4</f>
        <v xml:space="preserve">0000000003                         Розница разное ОПТ                                                                                                                                                                  </v>
      </c>
      <c r="E3" s="20"/>
      <c r="F3" s="10"/>
      <c r="G3" s="11"/>
      <c r="H3" s="11"/>
      <c r="I3" s="10"/>
      <c r="J3" s="9"/>
    </row>
    <row r="4" spans="1:10" x14ac:dyDescent="0.25">
      <c r="A4" t="str">
        <f>table02_01!Q5&amp;table02_01!W4&amp;table02_01!T5</f>
        <v xml:space="preserve">0000000004                         Андрей (Ясиноватая)                                                                                                                                                                 </v>
      </c>
      <c r="E4" s="20"/>
      <c r="F4" s="10"/>
      <c r="G4" s="11"/>
      <c r="H4" s="11"/>
      <c r="I4" s="10"/>
      <c r="J4" s="9"/>
    </row>
    <row r="5" spans="1:10" x14ac:dyDescent="0.25">
      <c r="A5" t="str">
        <f>table02_01!Q6&amp;table02_01!W5&amp;table02_01!T6</f>
        <v xml:space="preserve">0000000005               0713031515Юрий (Снежное)                                                                                                                                                                      </v>
      </c>
      <c r="E5" s="20"/>
      <c r="F5" s="10"/>
      <c r="G5" s="11"/>
      <c r="H5" s="11"/>
      <c r="I5" s="10"/>
      <c r="J5" s="9"/>
    </row>
    <row r="6" spans="1:10" x14ac:dyDescent="0.25">
      <c r="A6" t="str">
        <f>table02_01!Q7&amp;table02_01!W6&amp;table02_01!T7</f>
        <v xml:space="preserve">0000000006               0713798238Артем Голубев+Тимофей+Игорь                                                                                                                                                         </v>
      </c>
      <c r="E6" s="20"/>
      <c r="F6" s="10"/>
      <c r="G6" s="11"/>
      <c r="H6" s="11"/>
      <c r="I6" s="10"/>
      <c r="J6" s="9"/>
    </row>
    <row r="7" spans="1:10" x14ac:dyDescent="0.25">
      <c r="A7" t="str">
        <f>table02_01!Q8&amp;table02_01!W7&amp;table02_01!T8</f>
        <v xml:space="preserve">0000000007               0713347913Наташа Алферова                                                                                                                                                                     </v>
      </c>
      <c r="E7" s="20"/>
      <c r="F7" s="10"/>
      <c r="G7" s="11"/>
      <c r="H7" s="11"/>
      <c r="I7" s="9"/>
      <c r="J7" s="9"/>
    </row>
    <row r="8" spans="1:10" x14ac:dyDescent="0.25">
      <c r="A8" t="str">
        <f>table02_01!Q9&amp;table02_01!W8&amp;table02_01!T9</f>
        <v xml:space="preserve">0000000008               0713699176Оля Импульс                                                                                                                                                                         </v>
      </c>
      <c r="E8" s="20"/>
      <c r="F8" s="10"/>
      <c r="G8" s="11"/>
      <c r="H8" s="11"/>
      <c r="I8" s="10"/>
      <c r="J8" s="9"/>
    </row>
    <row r="9" spans="1:10" x14ac:dyDescent="0.25">
      <c r="A9" t="str">
        <f>table02_01!Q10&amp;table02_01!W9&amp;table02_01!T10</f>
        <v xml:space="preserve">0000000009               0713853526Нистеренко Наташа                                                                                                                                                                   </v>
      </c>
      <c r="E9" s="20"/>
      <c r="F9" s="10"/>
      <c r="G9" s="11"/>
      <c r="H9" s="11"/>
      <c r="I9" s="10"/>
      <c r="J9" s="9"/>
    </row>
    <row r="10" spans="1:10" x14ac:dyDescent="0.25">
      <c r="A10" t="str">
        <f>table02_01!Q11&amp;table02_01!W10&amp;table02_01!T11</f>
        <v xml:space="preserve">0000000010               0713306420Наташа Шахтерск                                                                                                                                                                     </v>
      </c>
      <c r="E10" s="20"/>
      <c r="F10" s="10"/>
      <c r="G10" s="11"/>
      <c r="H10" s="11"/>
      <c r="I10" s="10"/>
      <c r="J10" s="9"/>
    </row>
    <row r="11" spans="1:10" x14ac:dyDescent="0.25">
      <c r="A11" t="str">
        <f>table02_01!Q12&amp;table02_01!W11&amp;table02_01!T12</f>
        <v xml:space="preserve">0000000011               0713260038Михаил Донпринт                                                                                                                                                                     </v>
      </c>
      <c r="E11" s="20"/>
      <c r="F11" s="10"/>
      <c r="G11" s="11"/>
      <c r="H11" s="11"/>
      <c r="I11" s="10"/>
      <c r="J11" s="9"/>
    </row>
    <row r="12" spans="1:10" x14ac:dyDescent="0.25">
      <c r="A12" t="str">
        <f>table02_01!Q13&amp;table02_01!W12&amp;table02_01!T13</f>
        <v xml:space="preserve">0000000012               0713030110Богдан                                                                                                                                                                              </v>
      </c>
      <c r="E12" s="20"/>
      <c r="F12" s="10"/>
      <c r="G12" s="11"/>
      <c r="H12" s="11"/>
      <c r="I12" s="10"/>
      <c r="J12" s="9"/>
    </row>
    <row r="13" spans="1:10" x14ac:dyDescent="0.25">
      <c r="A13" t="str">
        <f>table02_01!Q14&amp;table02_01!W13&amp;table02_01!T14</f>
        <v xml:space="preserve">0000000013               0713090610Брич Евгений                                                                                                                                                                        </v>
      </c>
      <c r="E13" s="20"/>
      <c r="F13" s="10"/>
      <c r="G13" s="11"/>
      <c r="H13" s="11"/>
      <c r="I13" s="10"/>
      <c r="J13" s="9"/>
    </row>
    <row r="14" spans="1:10" x14ac:dyDescent="0.25">
      <c r="A14" t="str">
        <f>table02_01!Q15&amp;table02_01!W14&amp;table02_01!T15</f>
        <v xml:space="preserve">0000000014               0713224491Дед Мороз Александр Анатольевич                                                                                                                                                     </v>
      </c>
      <c r="E14" s="20"/>
      <c r="F14" s="9"/>
      <c r="G14" s="12"/>
      <c r="H14" s="9"/>
      <c r="I14" s="10"/>
      <c r="J14" s="9"/>
    </row>
    <row r="15" spans="1:10" x14ac:dyDescent="0.25">
      <c r="A15" t="str">
        <f>table02_01!Q16&amp;table02_01!W15&amp;table02_01!T16</f>
        <v xml:space="preserve">0000000015               0713751323Гайваронская Наталья Владиславовна                                                                                                                                                  </v>
      </c>
      <c r="E15" s="20"/>
      <c r="F15" s="9"/>
      <c r="G15" s="11"/>
      <c r="H15" s="9"/>
      <c r="I15" s="10"/>
      <c r="J15" s="9"/>
    </row>
    <row r="16" spans="1:10" x14ac:dyDescent="0.25">
      <c r="A16" t="str">
        <f>table02_01!Q17&amp;table02_01!W16&amp;table02_01!T17</f>
        <v xml:space="preserve">0000000016               0713215803Ира Гунько                                                                                                                                                                          </v>
      </c>
      <c r="E16" s="20"/>
      <c r="F16" s="9"/>
      <c r="G16" s="11"/>
      <c r="H16" s="9"/>
      <c r="I16" s="10"/>
      <c r="J16" s="9"/>
    </row>
    <row r="17" spans="1:10" x14ac:dyDescent="0.25">
      <c r="A17" t="str">
        <f>table02_01!Q18&amp;table02_01!W17&amp;table02_01!T18</f>
        <v xml:space="preserve">0000000017               0713330637Быкадоров Данил Снежное                                                                                                                                                             </v>
      </c>
      <c r="E17" s="20"/>
      <c r="F17" s="9"/>
      <c r="G17" s="11"/>
      <c r="H17" s="9"/>
      <c r="I17" s="10"/>
      <c r="J17" s="9"/>
    </row>
    <row r="18" spans="1:10" x14ac:dyDescent="0.25">
      <c r="A18" t="str">
        <f>table02_01!Q19&amp;table02_01!W18&amp;table02_01!T19</f>
        <v xml:space="preserve">0000000018               0713270040Даша Золотое кольцо                                                                                                                                                                 </v>
      </c>
      <c r="E18" s="20"/>
      <c r="F18" s="9"/>
      <c r="G18" s="12"/>
      <c r="H18" s="9"/>
      <c r="I18" s="10"/>
      <c r="J18" s="9"/>
    </row>
    <row r="19" spans="1:10" x14ac:dyDescent="0.25">
      <c r="A19" t="str">
        <f>table02_01!Q20&amp;table02_01!W19&amp;table02_01!T20</f>
        <v xml:space="preserve">0000000019               0714765177Александр Владимирович фотограф                                                                                                                                                     </v>
      </c>
      <c r="E19" s="20"/>
      <c r="F19" s="9"/>
      <c r="G19" s="12"/>
      <c r="H19" s="9"/>
      <c r="I19" s="10"/>
      <c r="J19" s="9"/>
    </row>
    <row r="20" spans="1:10" x14ac:dyDescent="0.25">
      <c r="A20" t="str">
        <f>table02_01!Q21&amp;table02_01!W20&amp;table02_01!T21</f>
        <v xml:space="preserve">0000000020               0714663992Липучки Алена Макеевка                                                                                                                                                              </v>
      </c>
      <c r="E20" s="20"/>
      <c r="F20" s="9"/>
      <c r="G20" s="12"/>
      <c r="H20" s="9"/>
      <c r="I20" s="10"/>
      <c r="J20" s="9"/>
    </row>
    <row r="21" spans="1:10" x14ac:dyDescent="0.25">
      <c r="A21" t="str">
        <f>table02_01!Q22&amp;table02_01!W21&amp;table02_01!T22</f>
        <v xml:space="preserve">0000000021               0714137173ФЛП Барановский Александр                                                                                                                                                           </v>
      </c>
      <c r="E21" s="20"/>
      <c r="F21" s="9"/>
      <c r="G21" s="12"/>
      <c r="H21" s="9"/>
      <c r="I21" s="10"/>
      <c r="J21" s="9"/>
    </row>
    <row r="22" spans="1:10" x14ac:dyDescent="0.25">
      <c r="A22" t="str">
        <f>table02_01!Q23&amp;table02_01!W22&amp;table02_01!T23</f>
        <v xml:space="preserve">0000000022                         Ванин Сергей Алексеевич Докучаевск                                                                                                                                                  </v>
      </c>
      <c r="E22" s="20"/>
      <c r="F22" s="9"/>
      <c r="G22" s="13"/>
      <c r="H22" s="9"/>
      <c r="I22" s="10"/>
      <c r="J22" s="9"/>
    </row>
    <row r="23" spans="1:10" x14ac:dyDescent="0.25">
      <c r="A23" t="str">
        <f>table02_01!Q24&amp;table02_01!W23&amp;table02_01!T24</f>
        <v xml:space="preserve">0000000023               0713137284НА ШАРУ - рынок                                                                                                                                                                     </v>
      </c>
      <c r="E23" s="20"/>
      <c r="F23" s="9"/>
      <c r="G23" s="13"/>
      <c r="H23" s="9"/>
      <c r="I23" s="10"/>
      <c r="J23" s="9"/>
    </row>
    <row r="24" spans="1:10" x14ac:dyDescent="0.25">
      <c r="A24" t="str">
        <f>table02_01!Q25&amp;table02_01!W24&amp;table02_01!T25</f>
        <v xml:space="preserve">0000000024                         Игорь Львович Юра                                                                                                                                                                   </v>
      </c>
      <c r="E24" s="20"/>
      <c r="F24" s="9"/>
      <c r="G24" s="13"/>
      <c r="H24" s="9"/>
      <c r="I24" s="10"/>
      <c r="J24" s="9"/>
    </row>
    <row r="25" spans="1:10" x14ac:dyDescent="0.25">
      <c r="A25" t="str">
        <f>table02_01!Q26&amp;table02_01!W25&amp;table02_01!T26</f>
        <v xml:space="preserve">0000000025               0713218918196 Александр                                                                                                                                                                       </v>
      </c>
      <c r="E25" s="20"/>
      <c r="F25" s="9"/>
      <c r="G25" s="13"/>
      <c r="H25" s="9"/>
      <c r="I25" s="10"/>
      <c r="J25" s="9"/>
    </row>
    <row r="26" spans="1:10" x14ac:dyDescent="0.25">
      <c r="A26" t="str">
        <f>table02_01!Q27&amp;table02_01!W26&amp;table02_01!T27</f>
        <v xml:space="preserve">0000000026               0713148348Борис Викторович Енакиево Электроника                                                                                                                                               </v>
      </c>
      <c r="E26" s="20"/>
      <c r="F26" s="9"/>
      <c r="G26" s="13"/>
      <c r="H26" s="9"/>
      <c r="I26" s="10"/>
      <c r="J26" s="9"/>
    </row>
    <row r="27" spans="1:10" x14ac:dyDescent="0.25">
      <c r="A27" t="str">
        <f>table02_01!Q28&amp;table02_01!W27&amp;table02_01!T28</f>
        <v xml:space="preserve">0000000027                         Сидоренко Петровка Донецк                                                                                                                                                           </v>
      </c>
      <c r="E27" s="20"/>
      <c r="F27" s="9"/>
      <c r="G27" s="13"/>
      <c r="H27" s="9"/>
      <c r="I27" s="10"/>
      <c r="J27" s="9"/>
    </row>
    <row r="28" spans="1:10" x14ac:dyDescent="0.25">
      <c r="A28" t="str">
        <f>table02_01!Q29&amp;table02_01!W28&amp;table02_01!T29</f>
        <v xml:space="preserve">0000000028               0713315352ФЛП Чуприн Юра                                                                                                                                                                      </v>
      </c>
      <c r="E28" s="20"/>
      <c r="F28" s="9"/>
      <c r="G28" s="13"/>
      <c r="H28" s="9"/>
      <c r="I28" s="10"/>
      <c r="J28" s="9"/>
    </row>
    <row r="29" spans="1:10" x14ac:dyDescent="0.25">
      <c r="A29" t="str">
        <f>table02_01!Q30&amp;table02_01!W29&amp;table02_01!T30</f>
        <v xml:space="preserve">0000000029               0713360190Администрация                                                                                                                                                                       </v>
      </c>
      <c r="E29" s="20"/>
      <c r="F29" s="9"/>
      <c r="G29" s="13"/>
      <c r="H29" s="9"/>
      <c r="I29" s="10"/>
      <c r="J29" s="9"/>
    </row>
    <row r="30" spans="1:10" x14ac:dyDescent="0.25">
      <c r="A30" t="str">
        <f>table02_01!Q31&amp;table02_01!W30&amp;table02_01!T31</f>
        <v xml:space="preserve">0000000030                         Людмила Степановна                                                                                                                                                                  </v>
      </c>
      <c r="E30" s="20"/>
      <c r="F30" s="9"/>
      <c r="G30" s="13"/>
      <c r="H30" s="9"/>
      <c r="I30" s="10"/>
      <c r="J30" s="9"/>
    </row>
    <row r="31" spans="1:10" x14ac:dyDescent="0.25">
      <c r="A31" t="str">
        <f>table02_01!Q32&amp;table02_01!W31&amp;table02_01!T32</f>
        <v xml:space="preserve">0000000031               0713114488Руслан Снежное                                                                                                                                                                      </v>
      </c>
      <c r="E31" s="20"/>
      <c r="F31" s="9"/>
      <c r="G31" s="13"/>
      <c r="H31" s="9"/>
      <c r="I31" s="10"/>
      <c r="J31" s="9"/>
    </row>
    <row r="32" spans="1:10" x14ac:dyDescent="0.25">
      <c r="A32" t="str">
        <f>table02_01!Q33&amp;table02_01!W32&amp;table02_01!T33</f>
        <v xml:space="preserve">0000000032                         Игорь АБС ABC                                                                                                                                                                       </v>
      </c>
      <c r="E32" s="20"/>
      <c r="F32" s="9"/>
      <c r="G32" s="13"/>
      <c r="H32" s="9"/>
      <c r="I32" s="10"/>
      <c r="J32" s="9"/>
    </row>
    <row r="33" spans="1:10" x14ac:dyDescent="0.25">
      <c r="A33" t="str">
        <f>table02_01!Q34&amp;table02_01!W33&amp;table02_01!T34</f>
        <v xml:space="preserve">0000000033               0713407565Варлянский Валерий                                                                                                                                                                  </v>
      </c>
      <c r="E33" s="20"/>
      <c r="F33" s="9"/>
      <c r="G33" s="13"/>
      <c r="H33" s="9"/>
      <c r="I33" s="10"/>
      <c r="J33" s="9"/>
    </row>
    <row r="34" spans="1:10" x14ac:dyDescent="0.25">
      <c r="A34" t="str">
        <f>table02_01!Q35&amp;table02_01!W34&amp;table02_01!T35</f>
        <v xml:space="preserve">0000000034               0713664072ФЛП Кислякова-Осипенко                                                                                                                                                              </v>
      </c>
      <c r="E34" s="20"/>
      <c r="F34" s="9"/>
      <c r="G34" s="13"/>
      <c r="H34" s="9"/>
      <c r="I34" s="10"/>
      <c r="J34" s="9"/>
    </row>
    <row r="35" spans="1:10" x14ac:dyDescent="0.25">
      <c r="A35" t="str">
        <f>table02_01!Q36&amp;table02_01!W35&amp;table02_01!T36</f>
        <v xml:space="preserve">0000000035               0713397760Юля Тан                                                                                                                                                                             </v>
      </c>
      <c r="E35" s="20"/>
      <c r="F35" s="9"/>
      <c r="G35" s="13"/>
      <c r="H35" s="9"/>
      <c r="I35" s="10"/>
      <c r="J35" s="9"/>
    </row>
    <row r="36" spans="1:10" x14ac:dyDescent="0.25">
      <c r="A36" t="str">
        <f>table02_01!Q37&amp;table02_01!W36&amp;table02_01!T37</f>
        <v xml:space="preserve">0000000036                      071ФЛП Черевайко Андрей Николаевич                                                                                                                                                     </v>
      </c>
      <c r="E36" s="20"/>
      <c r="F36" s="9"/>
      <c r="G36" s="13"/>
      <c r="H36" s="9"/>
      <c r="I36" s="10"/>
      <c r="J36" s="9"/>
    </row>
    <row r="37" spans="1:10" x14ac:dyDescent="0.25">
      <c r="A37" t="str">
        <f>table02_01!Q38&amp;table02_01!W37&amp;table02_01!T38</f>
        <v xml:space="preserve">0000000037               0713190950Еременко Дима                                                                                                                                                                       </v>
      </c>
      <c r="E37" s="20"/>
      <c r="F37" s="9"/>
      <c r="G37" s="13"/>
      <c r="H37" s="9"/>
      <c r="I37" s="10"/>
      <c r="J37" s="9"/>
    </row>
    <row r="38" spans="1:10" x14ac:dyDescent="0.25">
      <c r="A38" t="str">
        <f>table02_01!Q39&amp;table02_01!W38&amp;table02_01!T39</f>
        <v xml:space="preserve">0000000038               0714671087ФЛП Барбатун Вадим Олегович                                                                                                                                                         </v>
      </c>
      <c r="E38" s="20"/>
      <c r="F38" s="9"/>
      <c r="G38" s="13"/>
      <c r="H38" s="9"/>
      <c r="I38" s="10"/>
      <c r="J38" s="9"/>
    </row>
    <row r="39" spans="1:10" x14ac:dyDescent="0.25">
      <c r="A39" t="str">
        <f>table02_01!Q40&amp;table02_01!W39&amp;table02_01!T40</f>
        <v xml:space="preserve">0000000039               0714751449Женя Полиграф                                                                                                                                                                       </v>
      </c>
      <c r="E39" s="20"/>
      <c r="F39" s="9"/>
      <c r="G39" s="13"/>
      <c r="H39" s="9"/>
      <c r="I39" s="10"/>
      <c r="J39" s="9"/>
    </row>
    <row r="40" spans="1:10" x14ac:dyDescent="0.25">
      <c r="A40" t="str">
        <f>table02_01!Q41&amp;table02_01!W40&amp;table02_01!T41</f>
        <v xml:space="preserve">0000000040                         Самосват Александр                                                                                                                                                                  </v>
      </c>
      <c r="E40" s="20"/>
      <c r="F40" s="9"/>
      <c r="G40" s="13"/>
      <c r="H40" s="9"/>
      <c r="I40" s="10"/>
      <c r="J40" s="9"/>
    </row>
    <row r="41" spans="1:10" x14ac:dyDescent="0.25">
      <c r="A41" t="str">
        <f>table02_01!Q42&amp;table02_01!W41&amp;table02_01!T42</f>
        <v xml:space="preserve">0000000041               0713338658Яковленко Наталья                                                                                                                                                                   </v>
      </c>
      <c r="E41" s="20"/>
      <c r="F41" s="9"/>
      <c r="G41" s="13"/>
      <c r="H41" s="9"/>
      <c r="I41" s="10"/>
      <c r="J41" s="9"/>
    </row>
    <row r="42" spans="1:10" x14ac:dyDescent="0.25">
      <c r="A42" t="str">
        <f>table02_01!Q43&amp;table02_01!W42&amp;table02_01!T43</f>
        <v xml:space="preserve">0000000042               0713338659Шевченко Саша                                                                                                                                                                       </v>
      </c>
      <c r="E42" s="20"/>
      <c r="F42" s="9"/>
      <c r="G42" s="13"/>
      <c r="H42" s="9"/>
      <c r="I42" s="10"/>
      <c r="J42" s="9"/>
    </row>
    <row r="43" spans="1:10" x14ac:dyDescent="0.25">
      <c r="A43" t="str">
        <f>table02_01!Q44&amp;table02_01!W43&amp;table02_01!T44</f>
        <v xml:space="preserve">0000000043               0713306227Топорков Артем Торез                                                                                                                                                                </v>
      </c>
      <c r="E43" s="20"/>
      <c r="F43" s="9"/>
      <c r="G43" s="13"/>
      <c r="H43" s="9"/>
      <c r="I43" s="10"/>
      <c r="J43" s="9"/>
    </row>
    <row r="44" spans="1:10" x14ac:dyDescent="0.25">
      <c r="A44" t="str">
        <f>table02_01!Q45&amp;table02_01!W44&amp;table02_01!T45</f>
        <v xml:space="preserve">0000000044               0713726509Тимошевский Виталий                                                                                                                                                                 </v>
      </c>
      <c r="E44" s="20"/>
      <c r="F44" s="9"/>
      <c r="G44" s="13"/>
      <c r="H44" s="9"/>
      <c r="I44" s="10"/>
      <c r="J44" s="9"/>
    </row>
    <row r="45" spans="1:10" x14ac:dyDescent="0.25">
      <c r="A45" t="str">
        <f>table02_01!Q46&amp;table02_01!W45&amp;table02_01!T46</f>
        <v xml:space="preserve">0000000045               0713771819ФЛП Павлюк Александр                                                                                                                                                                </v>
      </c>
      <c r="E45" s="20"/>
      <c r="F45" s="9"/>
      <c r="G45" s="13"/>
      <c r="H45" s="9"/>
      <c r="I45" s="10"/>
      <c r="J45" s="9"/>
    </row>
    <row r="46" spans="1:10" x14ac:dyDescent="0.25">
      <c r="A46" t="str">
        <f>table02_01!Q47&amp;table02_01!W46&amp;table02_01!T47</f>
        <v xml:space="preserve">0000000046               0714158409ФЛП Барановский Александр                                                                                                                                                           </v>
      </c>
      <c r="E46" s="20"/>
      <c r="F46" s="9"/>
      <c r="G46" s="13"/>
      <c r="H46" s="9"/>
      <c r="I46" s="10"/>
      <c r="J46" s="9"/>
    </row>
    <row r="47" spans="1:10" x14ac:dyDescent="0.25">
      <c r="A47" t="str">
        <f>table02_01!Q48&amp;table02_01!W47&amp;table02_01!T48</f>
        <v xml:space="preserve">0000000047               0713843781Сергей Викторович ООО Селд                                                                                                                                                          </v>
      </c>
      <c r="E47" s="20"/>
      <c r="F47" s="9"/>
      <c r="G47" s="13"/>
      <c r="H47" s="9"/>
      <c r="I47" s="10"/>
      <c r="J47" s="9"/>
    </row>
    <row r="48" spans="1:10" x14ac:dyDescent="0.25">
      <c r="A48" t="str">
        <f>table02_01!Q49&amp;table02_01!W48&amp;table02_01!T49</f>
        <v xml:space="preserve">0000000048               0713825331Денис Снежное 0714617355                                                                                                                                                            </v>
      </c>
      <c r="E48" s="20"/>
      <c r="F48" s="9"/>
      <c r="G48" s="13"/>
      <c r="H48" s="9"/>
      <c r="I48" s="10"/>
      <c r="J48" s="9"/>
    </row>
    <row r="49" spans="1:10" x14ac:dyDescent="0.25">
      <c r="A49" t="str">
        <f>table02_01!Q50&amp;table02_01!W49&amp;table02_01!T50</f>
        <v xml:space="preserve">0000000049               0714617355Наташа Ясиноватая бартер                                                                                                                                                            </v>
      </c>
      <c r="E49" s="20"/>
      <c r="F49" s="9"/>
      <c r="G49" s="13"/>
      <c r="H49" s="9"/>
      <c r="I49" s="10"/>
      <c r="J49" s="9"/>
    </row>
    <row r="50" spans="1:10" x14ac:dyDescent="0.25">
      <c r="A50" t="str">
        <f>table02_01!Q51&amp;table02_01!W50&amp;table02_01!T51</f>
        <v xml:space="preserve">0000000050               0713091445Игорь Пельмени                                                                                                                                                                      </v>
      </c>
      <c r="E50" s="20"/>
      <c r="F50" s="9"/>
      <c r="G50" s="13"/>
      <c r="H50" s="9"/>
      <c r="I50" s="10"/>
      <c r="J50" s="9"/>
    </row>
    <row r="51" spans="1:10" x14ac:dyDescent="0.25">
      <c r="A51" t="str">
        <f>table02_01!Q52&amp;table02_01!W51&amp;table02_01!T52</f>
        <v xml:space="preserve">0000000051               0713592605Торговый Университет Владимир                                                                                                                                                       </v>
      </c>
      <c r="E51" s="20"/>
      <c r="F51" s="9"/>
      <c r="G51" s="13"/>
      <c r="H51" s="9"/>
      <c r="I51" s="10"/>
      <c r="J51" s="9"/>
    </row>
    <row r="52" spans="1:10" x14ac:dyDescent="0.25">
      <c r="A52" t="str">
        <f>table02_01!Q53&amp;table02_01!W52&amp;table02_01!T53</f>
        <v xml:space="preserve">0000000052               0713653269Артебякина Светлана                                                                                                                                                                 </v>
      </c>
      <c r="E52" s="20"/>
      <c r="F52" s="9"/>
      <c r="G52" s="13"/>
      <c r="H52" s="9"/>
      <c r="I52" s="10"/>
      <c r="J52" s="9"/>
    </row>
    <row r="53" spans="1:10" x14ac:dyDescent="0.25">
      <c r="A53" t="str">
        <f>table02_01!Q54&amp;table02_01!W53&amp;table02_01!T54</f>
        <v xml:space="preserve">0000000053               0713215803Ганиев Ринат Горловка (Самоклейка)                                                                                                                                                  </v>
      </c>
      <c r="E53" s="20"/>
      <c r="F53" s="9"/>
      <c r="G53" s="13"/>
      <c r="H53" s="9"/>
      <c r="I53" s="10"/>
      <c r="J53" s="9"/>
    </row>
    <row r="54" spans="1:10" x14ac:dyDescent="0.25">
      <c r="A54" t="str">
        <f>table02_01!Q55&amp;table02_01!W54&amp;table02_01!T55</f>
        <v xml:space="preserve">0000000054               0713881856Бандана                                                                                                                                                                             </v>
      </c>
      <c r="E54" s="20"/>
      <c r="F54" s="9"/>
      <c r="G54" s="13"/>
      <c r="H54" s="9"/>
      <c r="I54" s="10"/>
      <c r="J54" s="9"/>
    </row>
    <row r="55" spans="1:10" x14ac:dyDescent="0.25">
      <c r="A55" t="str">
        <f>table02_01!Q56&amp;table02_01!W55&amp;table02_01!T56</f>
        <v xml:space="preserve">0000000055               0713227208Игорь Николаевич Мельник Макеевка "Поиск" 0713976819                                                                                                                                </v>
      </c>
      <c r="E55" s="20"/>
      <c r="F55" s="9"/>
      <c r="G55" s="13"/>
      <c r="H55" s="9"/>
      <c r="I55" s="10"/>
      <c r="J55" s="9"/>
    </row>
    <row r="56" spans="1:10" x14ac:dyDescent="0.25">
      <c r="A56" t="str">
        <f>table02_01!Q57&amp;table02_01!W56&amp;table02_01!T57</f>
        <v xml:space="preserve">0000000056               0714106676ФЛП Александрова Инесса                                                                                                                                                             </v>
      </c>
      <c r="E56" s="20"/>
      <c r="F56" s="9"/>
      <c r="G56" s="13"/>
      <c r="H56" s="9"/>
      <c r="I56" s="10"/>
      <c r="J56" s="9"/>
    </row>
    <row r="57" spans="1:10" x14ac:dyDescent="0.25">
      <c r="A57" t="str">
        <f>table02_01!Q58&amp;table02_01!W57&amp;table02_01!T58</f>
        <v xml:space="preserve">0000000057               0713763159ФЛП Сыроквашина Светлана                                                                                                                                                            </v>
      </c>
      <c r="E57" s="20"/>
      <c r="F57" s="9"/>
      <c r="G57" s="13"/>
      <c r="H57" s="9"/>
      <c r="I57" s="10"/>
      <c r="J57" s="9"/>
    </row>
    <row r="58" spans="1:10" x14ac:dyDescent="0.25">
      <c r="A58" t="str">
        <f>table02_01!Q59&amp;table02_01!W58&amp;table02_01!T59</f>
        <v xml:space="preserve">0000000058                      071Ларичев                                                                                                                                                                             </v>
      </c>
      <c r="E58" s="20"/>
      <c r="F58" s="9"/>
      <c r="G58" s="13"/>
      <c r="H58" s="9"/>
      <c r="I58" s="10"/>
      <c r="J58" s="9"/>
    </row>
    <row r="59" spans="1:10" x14ac:dyDescent="0.25">
      <c r="A59" t="str">
        <f>table02_01!Q60&amp;table02_01!W59&amp;table02_01!T60</f>
        <v xml:space="preserve">0000000059               0713819271Мищенко Сергей                                                                                                                                                                      </v>
      </c>
      <c r="E59" s="20"/>
      <c r="F59" s="9"/>
      <c r="G59" s="13"/>
      <c r="H59" s="9"/>
      <c r="I59" s="10"/>
      <c r="J59" s="9"/>
    </row>
    <row r="60" spans="1:10" x14ac:dyDescent="0.25">
      <c r="A60" t="str">
        <f>table02_01!Q61&amp;table02_01!W60&amp;table02_01!T61</f>
        <v xml:space="preserve">0000000060               0713229414ФЛП Губанова                                                                                                                                                                        </v>
      </c>
      <c r="E60" s="20"/>
      <c r="F60" s="9"/>
      <c r="G60" s="13"/>
      <c r="H60" s="9"/>
      <c r="I60" s="10"/>
      <c r="J60" s="9"/>
    </row>
    <row r="61" spans="1:10" x14ac:dyDescent="0.25">
      <c r="A61" t="str">
        <f>table02_01!Q62&amp;table02_01!W61&amp;table02_01!T62</f>
        <v xml:space="preserve">0000000061               0712391969ФЛП Гарбузов Александр                                                                                                                                                              </v>
      </c>
      <c r="E61" s="20"/>
      <c r="F61" s="9"/>
      <c r="G61" s="13"/>
      <c r="H61" s="9"/>
      <c r="I61" s="10"/>
      <c r="J61" s="9"/>
    </row>
    <row r="62" spans="1:10" x14ac:dyDescent="0.25">
      <c r="A62" t="str">
        <f>table02_01!Q63&amp;table02_01!W62&amp;table02_01!T63</f>
        <v xml:space="preserve">0000000062               0713224491Енакиево бумага                                                                                                                                                                     </v>
      </c>
      <c r="E62" s="20"/>
      <c r="F62" s="9"/>
      <c r="G62" s="13"/>
      <c r="H62" s="9"/>
      <c r="I62" s="10"/>
      <c r="J62" s="9"/>
    </row>
    <row r="63" spans="1:10" x14ac:dyDescent="0.25">
      <c r="A63" t="str">
        <f>table02_01!Q64&amp;table02_01!W63&amp;table02_01!T64</f>
        <v xml:space="preserve">0000000063               0713518362Гена Назаркин ( 17 )                                                                                                                                                                </v>
      </c>
      <c r="E63" s="20"/>
      <c r="F63" s="9"/>
      <c r="G63" s="13"/>
      <c r="H63" s="9"/>
      <c r="I63" s="10"/>
      <c r="J63" s="9"/>
    </row>
    <row r="64" spans="1:10" x14ac:dyDescent="0.25">
      <c r="A64" t="str">
        <f>table02_01!Q65&amp;table02_01!W64&amp;table02_01!T65</f>
        <v xml:space="preserve">0000000064               0713076372ФЛП Буряк                                                                                                                                                                           </v>
      </c>
      <c r="E64" s="20"/>
      <c r="F64" s="9"/>
      <c r="G64" s="13"/>
      <c r="H64" s="9"/>
      <c r="I64" s="10"/>
      <c r="J64" s="9"/>
    </row>
    <row r="65" spans="1:10" x14ac:dyDescent="0.25">
      <c r="A65" t="str">
        <f>table02_01!Q66&amp;table02_01!W65&amp;table02_01!T66</f>
        <v xml:space="preserve">0000000065               0713097963Роман Мачнев                                                                                                                                                                        </v>
      </c>
      <c r="E65" s="20"/>
      <c r="F65" s="9"/>
      <c r="G65" s="13"/>
      <c r="H65" s="9"/>
      <c r="I65" s="10"/>
      <c r="J65" s="9"/>
    </row>
    <row r="66" spans="1:10" x14ac:dyDescent="0.25">
      <c r="A66" t="str">
        <f>table02_01!Q67&amp;table02_01!W66&amp;table02_01!T67</f>
        <v xml:space="preserve">0000000066               0713483130Бородин Андрей Владимирович                                                                                                                                                         </v>
      </c>
      <c r="E66" s="20"/>
      <c r="F66" s="9"/>
      <c r="G66" s="13"/>
      <c r="H66" s="9"/>
      <c r="I66" s="10"/>
      <c r="J66" s="9"/>
    </row>
    <row r="67" spans="1:10" x14ac:dyDescent="0.25">
      <c r="A67" t="str">
        <f>table02_01!Q68&amp;table02_01!W67&amp;table02_01!T68</f>
        <v xml:space="preserve">0000000067               0713546080Сиданич Вита                                                                                                                                                                        </v>
      </c>
      <c r="E67" s="20"/>
      <c r="F67" s="9"/>
      <c r="G67" s="13"/>
      <c r="H67" s="9"/>
      <c r="I67" s="10"/>
      <c r="J67" s="9"/>
    </row>
    <row r="68" spans="1:10" x14ac:dyDescent="0.25">
      <c r="A68" t="str">
        <f>table02_01!Q69&amp;table02_01!W68&amp;table02_01!T69</f>
        <v xml:space="preserve">0000000068               0713962728ФЛП Арсенина                                                                                                                                                                        </v>
      </c>
      <c r="E68" s="20"/>
      <c r="F68" s="9"/>
      <c r="G68" s="13"/>
      <c r="H68" s="9"/>
      <c r="I68" s="10"/>
      <c r="J68" s="9"/>
    </row>
    <row r="69" spans="1:10" x14ac:dyDescent="0.25">
      <c r="A69" t="str">
        <f>table02_01!Q70&amp;table02_01!W69&amp;table02_01!T70</f>
        <v xml:space="preserve">0000000069                         Конорева Ирина г. Ждановка                                                                                                                                                          </v>
      </c>
      <c r="E69" s="20"/>
      <c r="F69" s="9"/>
      <c r="G69" s="13"/>
      <c r="H69" s="9"/>
      <c r="I69" s="10"/>
      <c r="J69" s="9"/>
    </row>
    <row r="70" spans="1:10" x14ac:dyDescent="0.25">
      <c r="A70" t="str">
        <f>table02_01!Q71&amp;table02_01!W70&amp;table02_01!T71</f>
        <v xml:space="preserve">0000000070               0713104406Булыга Борис                                                                                                                                                                        </v>
      </c>
      <c r="E70" s="20"/>
      <c r="F70" s="9"/>
      <c r="G70" s="13"/>
      <c r="H70" s="9"/>
      <c r="I70" s="10"/>
      <c r="J70" s="9"/>
    </row>
    <row r="71" spans="1:10" x14ac:dyDescent="0.25">
      <c r="A71" t="str">
        <f>table02_01!Q72&amp;table02_01!W71&amp;table02_01!T72</f>
        <v xml:space="preserve">0000000071               0713131156Качалов Дима                                                                                                                                                                        </v>
      </c>
      <c r="E71" s="20"/>
      <c r="F71" s="9"/>
      <c r="G71" s="13"/>
      <c r="H71" s="9"/>
      <c r="I71" s="10"/>
      <c r="J71" s="9"/>
    </row>
    <row r="72" spans="1:10" x14ac:dyDescent="0.25">
      <c r="A72" t="str">
        <f>table02_01!Q73&amp;table02_01!W72&amp;table02_01!T73</f>
        <v xml:space="preserve">0000000072               0714822942ООО СЕЛТ Павленко Сергей Викторович                                                                                                                                                 </v>
      </c>
      <c r="E72" s="20"/>
      <c r="F72" s="9"/>
      <c r="G72" s="13"/>
      <c r="H72" s="9"/>
      <c r="I72" s="10"/>
      <c r="J72" s="9"/>
    </row>
    <row r="73" spans="1:10" x14ac:dyDescent="0.25">
      <c r="A73" t="str">
        <f>table02_01!Q74&amp;table02_01!W73&amp;table02_01!T74</f>
        <v xml:space="preserve">0000000073                         Сергей Директор                                                                                                                                                                     </v>
      </c>
      <c r="E73" s="20"/>
      <c r="F73" s="9"/>
      <c r="G73" s="13"/>
      <c r="H73" s="9"/>
      <c r="I73" s="10"/>
      <c r="J73" s="9"/>
    </row>
    <row r="74" spans="1:10" x14ac:dyDescent="0.25">
      <c r="A74" t="str">
        <f>table02_01!Q75&amp;table02_01!W74&amp;table02_01!T75</f>
        <v xml:space="preserve">0000000074               0713496076Людмила Степановна                                                                                                                                                                  </v>
      </c>
      <c r="E74" s="20"/>
      <c r="F74" s="9"/>
      <c r="G74" s="13"/>
      <c r="H74" s="9"/>
      <c r="I74" s="10"/>
      <c r="J74" s="9"/>
    </row>
    <row r="75" spans="1:10" x14ac:dyDescent="0.25">
      <c r="A75" t="str">
        <f>table02_01!Q76&amp;table02_01!W75&amp;table02_01!T76</f>
        <v xml:space="preserve">0000000075               0713114488Артем Шахтерск                                                                                                                                                                      </v>
      </c>
      <c r="E75" s="20"/>
      <c r="F75" s="9"/>
      <c r="G75" s="13"/>
      <c r="H75" s="9"/>
      <c r="I75" s="10"/>
      <c r="J75" s="9"/>
    </row>
    <row r="76" spans="1:10" x14ac:dyDescent="0.25">
      <c r="A76" t="str">
        <f>table02_01!Q77&amp;table02_01!W76&amp;table02_01!T77</f>
        <v xml:space="preserve">0000000076               0715065904Роман Шевченко Комсомольск                                                                                                                                                          </v>
      </c>
      <c r="E76" s="20"/>
      <c r="F76" s="9"/>
      <c r="G76" s="13"/>
      <c r="H76" s="9"/>
      <c r="I76" s="10"/>
      <c r="J76" s="9"/>
    </row>
    <row r="77" spans="1:10" x14ac:dyDescent="0.25">
      <c r="A77" t="str">
        <f>table02_01!Q78&amp;table02_01!W77&amp;table02_01!T78</f>
        <v xml:space="preserve">0000000077               0713978430АНДРЕЙ 88                                                                                                                                                                           </v>
      </c>
      <c r="E77" s="20"/>
      <c r="F77" s="9"/>
      <c r="G77" s="13"/>
      <c r="H77" s="9"/>
      <c r="I77" s="10"/>
      <c r="J77" s="9"/>
    </row>
    <row r="78" spans="1:10" x14ac:dyDescent="0.25">
      <c r="A78" t="str">
        <f>table02_01!Q79&amp;table02_01!W78&amp;table02_01!T79</f>
        <v xml:space="preserve">0000000078               0712013279Юля                                                                                                                                                                                 </v>
      </c>
      <c r="E78" s="20"/>
      <c r="F78" s="9"/>
      <c r="G78" s="13"/>
      <c r="H78" s="9"/>
      <c r="I78" s="10"/>
      <c r="J78" s="9"/>
    </row>
    <row r="79" spans="1:10" x14ac:dyDescent="0.25">
      <c r="A79" t="str">
        <f>table02_01!Q80&amp;table02_01!W79&amp;table02_01!T80</f>
        <v xml:space="preserve">0000000079                         МОБИ БУМ  Максим                                                                                                                                                                    </v>
      </c>
      <c r="E79" s="20"/>
      <c r="F79" s="9"/>
      <c r="G79" s="13"/>
      <c r="H79" s="9"/>
      <c r="I79" s="10"/>
      <c r="J79" s="9"/>
    </row>
    <row r="80" spans="1:10" x14ac:dyDescent="0.25">
      <c r="A80" t="str">
        <f>table02_01!Q81&amp;table02_01!W80&amp;table02_01!T81</f>
        <v xml:space="preserve">0000000080               0713330880Ходорченко Виталий Викторович                                                                                                                                                       </v>
      </c>
      <c r="E80" s="20"/>
      <c r="F80" s="9"/>
      <c r="G80" s="13"/>
      <c r="H80" s="9"/>
      <c r="I80" s="10"/>
      <c r="J80" s="9"/>
    </row>
    <row r="81" spans="1:10" x14ac:dyDescent="0.25">
      <c r="A81" t="str">
        <f>table02_01!Q82&amp;table02_01!W81&amp;table02_01!T82</f>
        <v xml:space="preserve">0000000081               0715145571Алиса .Денис Макеевка                                                                                                                                                               </v>
      </c>
      <c r="E81" s="20"/>
      <c r="F81" s="9"/>
      <c r="G81" s="13"/>
      <c r="H81" s="9"/>
      <c r="I81" s="10"/>
      <c r="J81" s="9"/>
    </row>
    <row r="82" spans="1:10" x14ac:dyDescent="0.25">
      <c r="A82" t="str">
        <f>table02_01!Q83&amp;table02_01!W82&amp;table02_01!T83</f>
        <v xml:space="preserve">0000000082               0713683751Куница Роман                                                                                                                                                                        </v>
      </c>
      <c r="E82" s="20"/>
      <c r="F82" s="9"/>
      <c r="G82" s="13"/>
      <c r="H82" s="13"/>
      <c r="I82" s="10"/>
      <c r="J82" s="9"/>
    </row>
    <row r="83" spans="1:10" x14ac:dyDescent="0.25">
      <c r="A83" t="str">
        <f>table02_01!Q84&amp;table02_01!W83&amp;table02_01!T84</f>
        <v xml:space="preserve">0000000083               0717054396Света (Наташа)                                                                                                                                                                      </v>
      </c>
      <c r="E83" s="20"/>
      <c r="F83" s="9"/>
      <c r="G83" s="13"/>
      <c r="H83" s="9"/>
      <c r="I83" s="10"/>
      <c r="J83" s="9"/>
    </row>
    <row r="84" spans="1:10" x14ac:dyDescent="0.25">
      <c r="A84" t="str">
        <f>table02_01!Q85&amp;table02_01!W84&amp;table02_01!T85</f>
        <v xml:space="preserve">0000000084               0714284605Александ                                                                                                                                                                            </v>
      </c>
      <c r="E84" s="20"/>
      <c r="F84" s="9"/>
      <c r="G84" s="13"/>
      <c r="H84" s="9"/>
      <c r="I84" s="10"/>
      <c r="J84" s="9"/>
    </row>
    <row r="85" spans="1:10" x14ac:dyDescent="0.25">
      <c r="A85" t="str">
        <f>table02_01!Q86&amp;table02_01!W85&amp;table02_01!T86</f>
        <v xml:space="preserve">0000000085               0713125055Марина Алчевск                                                                                                                                                                      </v>
      </c>
      <c r="E85" s="20"/>
      <c r="F85" s="9"/>
      <c r="G85" s="13"/>
      <c r="H85" s="9"/>
      <c r="I85" s="10"/>
      <c r="J85" s="9"/>
    </row>
    <row r="86" spans="1:10" x14ac:dyDescent="0.25">
      <c r="A86" t="str">
        <f>table02_01!Q87&amp;table02_01!W86&amp;table02_01!T87</f>
        <v xml:space="preserve">               0721272088</v>
      </c>
      <c r="E86" s="20"/>
      <c r="F86" s="9"/>
      <c r="G86" s="13"/>
      <c r="H86" s="9"/>
      <c r="I86" s="10"/>
      <c r="J86" s="9"/>
    </row>
    <row r="87" spans="1:10" x14ac:dyDescent="0.25">
      <c r="A87" t="str">
        <f>table02_01!Q88&amp;table02_01!W87&amp;table02_01!T88</f>
        <v/>
      </c>
      <c r="E87" s="20"/>
      <c r="F87" s="9"/>
      <c r="G87" s="13"/>
      <c r="H87" s="9"/>
      <c r="I87" s="10"/>
      <c r="J87" s="9"/>
    </row>
    <row r="88" spans="1:10" x14ac:dyDescent="0.25">
      <c r="A88" t="str">
        <f>table02_01!Q89&amp;table02_01!W88&amp;table02_01!T89</f>
        <v/>
      </c>
      <c r="E88" s="20"/>
      <c r="F88" s="9"/>
      <c r="G88" s="13"/>
      <c r="H88" s="9"/>
      <c r="I88" s="10"/>
      <c r="J88" s="9"/>
    </row>
    <row r="89" spans="1:10" x14ac:dyDescent="0.25">
      <c r="A89" t="str">
        <f>table02_01!Q90&amp;table02_01!W89&amp;table02_01!T90</f>
        <v/>
      </c>
      <c r="E89" s="20"/>
      <c r="F89" s="9"/>
      <c r="G89" s="13"/>
      <c r="H89" s="9"/>
      <c r="I89" s="10"/>
      <c r="J89" s="9"/>
    </row>
    <row r="90" spans="1:10" x14ac:dyDescent="0.25">
      <c r="A90" t="str">
        <f>table02_01!Q91&amp;table02_01!W90&amp;table02_01!T91</f>
        <v/>
      </c>
      <c r="E90" s="20"/>
      <c r="F90" s="9"/>
      <c r="G90" s="13"/>
      <c r="H90" s="9"/>
      <c r="I90" s="10"/>
      <c r="J90" s="9"/>
    </row>
    <row r="91" spans="1:10" x14ac:dyDescent="0.25">
      <c r="E91" s="20"/>
      <c r="F91" s="9"/>
      <c r="G91" s="13"/>
      <c r="H91" s="9"/>
      <c r="I91" s="10"/>
      <c r="J91" s="9"/>
    </row>
    <row r="92" spans="1:10" x14ac:dyDescent="0.25">
      <c r="E92" s="20"/>
      <c r="F92" s="9"/>
      <c r="G92" s="13"/>
      <c r="H92" s="9"/>
      <c r="I92" s="10"/>
      <c r="J92" s="9"/>
    </row>
    <row r="93" spans="1:10" x14ac:dyDescent="0.25">
      <c r="E93" s="20"/>
      <c r="F93" s="9"/>
      <c r="G93" s="13"/>
      <c r="H93" s="9"/>
      <c r="I93" s="10"/>
      <c r="J93" s="9"/>
    </row>
    <row r="94" spans="1:10" x14ac:dyDescent="0.25">
      <c r="E94" s="20"/>
      <c r="F94" s="9"/>
      <c r="G94" s="13"/>
      <c r="H94" s="9"/>
      <c r="I94" s="10"/>
      <c r="J94" s="9"/>
    </row>
    <row r="95" spans="1:10" x14ac:dyDescent="0.25">
      <c r="E95" s="20"/>
      <c r="F95" s="9"/>
      <c r="G95" s="13"/>
      <c r="H95" s="9"/>
      <c r="I95" s="10"/>
      <c r="J95" s="9"/>
    </row>
  </sheetData>
  <phoneticPr fontId="12" type="noConversion"/>
  <pageMargins left="0.7" right="0.7" top="0.75" bottom="0.75" header="0.3" footer="0.3"/>
  <pageSetup paperSize="0" orientation="landscape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5B3F3-3AF3-4378-93B9-8A2A36B290F5}">
  <dimension ref="A1:X95"/>
  <sheetViews>
    <sheetView topLeftCell="K1" zoomScaleNormal="100" workbookViewId="0">
      <selection activeCell="R2" sqref="R2"/>
    </sheetView>
  </sheetViews>
  <sheetFormatPr defaultRowHeight="15" x14ac:dyDescent="0.25"/>
  <cols>
    <col min="1" max="3" width="5.5703125" style="7" customWidth="1"/>
    <col min="4" max="4" width="5.5703125" style="5" customWidth="1"/>
    <col min="5" max="6" width="12.42578125" style="5" customWidth="1"/>
    <col min="7" max="7" width="12.42578125" style="100" customWidth="1"/>
    <col min="8" max="10" width="12.42578125" style="5" customWidth="1"/>
    <col min="11" max="11" width="11" style="85" bestFit="1" customWidth="1"/>
    <col min="12" max="12" width="13.28515625" style="92" customWidth="1"/>
    <col min="13" max="13" width="6.7109375" style="90" bestFit="1" customWidth="1"/>
    <col min="14" max="14" width="16" style="90" bestFit="1" customWidth="1"/>
    <col min="15" max="15" width="6.7109375" style="88" bestFit="1" customWidth="1"/>
    <col min="16" max="16" width="11" style="88" bestFit="1" customWidth="1"/>
    <col min="17" max="17" width="11" style="88" customWidth="1"/>
    <col min="18" max="18" width="13.5703125" style="92" customWidth="1"/>
    <col min="19" max="19" width="12.42578125" style="92" customWidth="1"/>
    <col min="20" max="20" width="15.140625" style="92" customWidth="1"/>
    <col min="21" max="21" width="11.28515625" style="107" customWidth="1"/>
    <col min="22" max="22" width="17" style="107" customWidth="1"/>
    <col min="23" max="23" width="17" style="105" customWidth="1"/>
  </cols>
  <sheetData>
    <row r="1" spans="1:24" x14ac:dyDescent="0.25">
      <c r="A1" s="7" t="s">
        <v>737</v>
      </c>
      <c r="B1" s="7" t="s">
        <v>621</v>
      </c>
      <c r="C1" s="7" t="s">
        <v>622</v>
      </c>
      <c r="D1" s="5" t="s">
        <v>623</v>
      </c>
      <c r="E1" s="78" t="s">
        <v>615</v>
      </c>
      <c r="F1" s="79" t="s">
        <v>616</v>
      </c>
      <c r="G1" s="96" t="s">
        <v>617</v>
      </c>
      <c r="H1" s="80" t="s">
        <v>618</v>
      </c>
      <c r="I1" s="81" t="s">
        <v>619</v>
      </c>
      <c r="J1" s="82" t="s">
        <v>620</v>
      </c>
      <c r="K1" s="83"/>
      <c r="L1" s="91" t="s">
        <v>1530</v>
      </c>
      <c r="M1" s="86" t="s">
        <v>1523</v>
      </c>
      <c r="N1" s="86" t="s">
        <v>1525</v>
      </c>
      <c r="O1" s="86" t="s">
        <v>1526</v>
      </c>
      <c r="P1" s="86" t="s">
        <v>1527</v>
      </c>
      <c r="Q1" s="93" t="s">
        <v>1531</v>
      </c>
      <c r="R1" s="91" t="s">
        <v>1532</v>
      </c>
      <c r="S1" s="91" t="s">
        <v>1528</v>
      </c>
      <c r="T1" s="94" t="s">
        <v>1529</v>
      </c>
      <c r="U1" s="102" t="s">
        <v>1615</v>
      </c>
      <c r="V1" s="102" t="s">
        <v>1616</v>
      </c>
      <c r="W1" s="103" t="s">
        <v>1617</v>
      </c>
      <c r="X1" s="101"/>
    </row>
    <row r="2" spans="1:24" x14ac:dyDescent="0.25">
      <c r="E2" s="74" t="s">
        <v>624</v>
      </c>
      <c r="F2" s="75" t="s">
        <v>407</v>
      </c>
      <c r="G2" s="97"/>
      <c r="H2" s="75"/>
      <c r="I2" s="75" t="s">
        <v>408</v>
      </c>
      <c r="J2" s="82"/>
      <c r="K2" s="84" t="s">
        <v>1524</v>
      </c>
      <c r="L2" s="92" t="str">
        <f>REPT(" ",180)</f>
        <v xml:space="preserve">                                                                                                                                                                                    </v>
      </c>
      <c r="M2" s="87" t="s">
        <v>624</v>
      </c>
      <c r="N2" s="87" t="str">
        <f>_xlfn.CONCAT(K2,M2)</f>
        <v>0000000000001</v>
      </c>
      <c r="O2" s="88">
        <f>LEN(N2)</f>
        <v>13</v>
      </c>
      <c r="P2" s="88" t="str">
        <f>RIGHT(N2,10)</f>
        <v>0000000001</v>
      </c>
      <c r="Q2" s="88" t="s">
        <v>1131</v>
      </c>
      <c r="U2" s="104"/>
      <c r="V2" s="104"/>
    </row>
    <row r="3" spans="1:24" x14ac:dyDescent="0.25">
      <c r="E3" s="74" t="s">
        <v>625</v>
      </c>
      <c r="F3" s="76" t="s">
        <v>409</v>
      </c>
      <c r="G3" s="95"/>
      <c r="H3" s="76"/>
      <c r="I3" s="76" t="s">
        <v>410</v>
      </c>
      <c r="J3" s="77"/>
      <c r="K3" s="84" t="s">
        <v>1524</v>
      </c>
      <c r="L3" s="92" t="str">
        <f t="shared" ref="L3:L66" si="0">REPT(" ",180)</f>
        <v xml:space="preserve">                                                                                                                                                                                    </v>
      </c>
      <c r="M3" s="87" t="s">
        <v>625</v>
      </c>
      <c r="N3" s="87" t="str">
        <f t="shared" ref="N3:N66" si="1">_xlfn.CONCAT(K3,M3)</f>
        <v>0000000000002</v>
      </c>
      <c r="O3" s="88">
        <f t="shared" ref="O3:O66" si="2">LEN(N3)</f>
        <v>13</v>
      </c>
      <c r="P3" s="88" t="str">
        <f t="shared" ref="P3:P66" si="3">RIGHT(N3,10)</f>
        <v>0000000002</v>
      </c>
      <c r="Q3" s="88" t="s">
        <v>1132</v>
      </c>
      <c r="R3" s="92" t="str">
        <f t="shared" ref="R2:R33" si="4">_xlfn.CONCAT(F3,L3)</f>
        <v xml:space="preserve">Лиля (Больница)                                                                                                                                                                                    </v>
      </c>
      <c r="S3" s="92" t="str">
        <f t="shared" ref="S3:S66" si="5">LEFT(R3,180)</f>
        <v xml:space="preserve">Лиля (Больница)                                                                                                                                                                     </v>
      </c>
      <c r="T3" s="92" t="s">
        <v>1533</v>
      </c>
      <c r="U3" s="104" t="str">
        <f t="shared" ref="U2:U6" si="6">_xlfn.CONCAT(L3,G3)</f>
        <v xml:space="preserve">                                                                                                                                                                                    </v>
      </c>
      <c r="V3" s="104" t="str">
        <f t="shared" ref="V1:V6" si="7">RIGHT(U3,25)</f>
        <v xml:space="preserve">                         </v>
      </c>
      <c r="W3" s="105" t="s">
        <v>1618</v>
      </c>
    </row>
    <row r="4" spans="1:24" x14ac:dyDescent="0.25">
      <c r="E4" s="74" t="s">
        <v>626</v>
      </c>
      <c r="F4" s="76" t="s">
        <v>411</v>
      </c>
      <c r="G4" s="95"/>
      <c r="H4" s="76"/>
      <c r="I4" s="76" t="s">
        <v>412</v>
      </c>
      <c r="J4" s="77"/>
      <c r="K4" s="84" t="s">
        <v>1524</v>
      </c>
      <c r="L4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4" s="87" t="s">
        <v>626</v>
      </c>
      <c r="N4" s="87" t="str">
        <f t="shared" si="1"/>
        <v>0000000000003</v>
      </c>
      <c r="O4" s="88">
        <f t="shared" si="2"/>
        <v>13</v>
      </c>
      <c r="P4" s="88" t="str">
        <f t="shared" si="3"/>
        <v>0000000003</v>
      </c>
      <c r="Q4" s="88" t="s">
        <v>1133</v>
      </c>
      <c r="R4" s="92" t="str">
        <f t="shared" si="4"/>
        <v xml:space="preserve">Розница разное ОПТ                                                                                                                                                                                    </v>
      </c>
      <c r="S4" s="92" t="str">
        <f t="shared" si="5"/>
        <v xml:space="preserve">Розница разное ОПТ                                                                                                                                                                  </v>
      </c>
      <c r="T4" s="92" t="s">
        <v>1534</v>
      </c>
      <c r="U4" s="104" t="str">
        <f t="shared" si="6"/>
        <v xml:space="preserve">                                                                                                                                                                                    </v>
      </c>
      <c r="V4" s="104" t="str">
        <f t="shared" si="7"/>
        <v xml:space="preserve">                         </v>
      </c>
      <c r="W4" s="105" t="s">
        <v>1618</v>
      </c>
    </row>
    <row r="5" spans="1:24" x14ac:dyDescent="0.25">
      <c r="E5" s="74" t="s">
        <v>627</v>
      </c>
      <c r="F5" s="76" t="s">
        <v>413</v>
      </c>
      <c r="G5" s="95" t="s">
        <v>414</v>
      </c>
      <c r="H5" s="76"/>
      <c r="I5" s="76" t="s">
        <v>415</v>
      </c>
      <c r="J5" s="77"/>
      <c r="K5" s="83" t="s">
        <v>1524</v>
      </c>
      <c r="L5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5" s="89" t="s">
        <v>627</v>
      </c>
      <c r="N5" s="87" t="str">
        <f t="shared" si="1"/>
        <v>0000000000004</v>
      </c>
      <c r="O5" s="88">
        <f t="shared" si="2"/>
        <v>13</v>
      </c>
      <c r="P5" s="88" t="str">
        <f t="shared" si="3"/>
        <v>0000000004</v>
      </c>
      <c r="Q5" s="88" t="s">
        <v>1134</v>
      </c>
      <c r="R5" s="92" t="str">
        <f t="shared" si="4"/>
        <v xml:space="preserve">Андрей (Ясиноватая)                                                                                                                                                                                    </v>
      </c>
      <c r="S5" s="92" t="str">
        <f t="shared" si="5"/>
        <v xml:space="preserve">Андрей (Ясиноватая)                                                                                                                                                                 </v>
      </c>
      <c r="T5" s="92" t="s">
        <v>1535</v>
      </c>
      <c r="U5" s="104" t="str">
        <f t="shared" si="6"/>
        <v xml:space="preserve">                                                                                                                                                                                    0713031515</v>
      </c>
      <c r="V5" s="104" t="str">
        <f t="shared" si="7"/>
        <v xml:space="preserve">               0713031515</v>
      </c>
      <c r="W5" s="105" t="s">
        <v>1619</v>
      </c>
    </row>
    <row r="6" spans="1:24" x14ac:dyDescent="0.25">
      <c r="E6" s="74" t="s">
        <v>628</v>
      </c>
      <c r="F6" s="76" t="s">
        <v>416</v>
      </c>
      <c r="G6" s="95" t="s">
        <v>417</v>
      </c>
      <c r="H6" s="76"/>
      <c r="I6" s="76" t="s">
        <v>418</v>
      </c>
      <c r="J6" s="77"/>
      <c r="K6" s="83" t="s">
        <v>1524</v>
      </c>
      <c r="L6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6" s="89" t="s">
        <v>628</v>
      </c>
      <c r="N6" s="87" t="str">
        <f t="shared" si="1"/>
        <v>0000000000005</v>
      </c>
      <c r="O6" s="88">
        <f t="shared" si="2"/>
        <v>13</v>
      </c>
      <c r="P6" s="88" t="str">
        <f t="shared" si="3"/>
        <v>0000000005</v>
      </c>
      <c r="Q6" s="88" t="s">
        <v>1135</v>
      </c>
      <c r="R6" s="92" t="str">
        <f t="shared" si="4"/>
        <v xml:space="preserve">Юрий (Снежное)                                                                                                                                                                                    </v>
      </c>
      <c r="S6" s="92" t="str">
        <f t="shared" si="5"/>
        <v xml:space="preserve">Юрий (Снежное)                                                                                                                                                                      </v>
      </c>
      <c r="T6" s="92" t="s">
        <v>1536</v>
      </c>
      <c r="U6" s="104" t="str">
        <f t="shared" si="6"/>
        <v xml:space="preserve">                                                                                                                                                                                    0713798238</v>
      </c>
      <c r="V6" s="104" t="str">
        <f t="shared" si="7"/>
        <v xml:space="preserve">               0713798238</v>
      </c>
      <c r="W6" s="105" t="s">
        <v>1620</v>
      </c>
    </row>
    <row r="7" spans="1:24" x14ac:dyDescent="0.25">
      <c r="E7" s="74" t="s">
        <v>629</v>
      </c>
      <c r="F7" s="76" t="s">
        <v>419</v>
      </c>
      <c r="G7" s="95" t="s">
        <v>420</v>
      </c>
      <c r="H7" s="76" t="s">
        <v>421</v>
      </c>
      <c r="I7" s="77"/>
      <c r="J7" s="77"/>
      <c r="K7" s="83" t="s">
        <v>1524</v>
      </c>
      <c r="L7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7" s="89" t="s">
        <v>629</v>
      </c>
      <c r="N7" s="87" t="str">
        <f t="shared" si="1"/>
        <v>0000000000006</v>
      </c>
      <c r="O7" s="88">
        <f t="shared" si="2"/>
        <v>13</v>
      </c>
      <c r="P7" s="88" t="str">
        <f t="shared" si="3"/>
        <v>0000000006</v>
      </c>
      <c r="Q7" s="88" t="s">
        <v>1136</v>
      </c>
      <c r="R7" s="92" t="str">
        <f t="shared" si="4"/>
        <v xml:space="preserve">Артем Голубев+Тимофей+Игорь                                                                                                                                                                                    </v>
      </c>
      <c r="S7" s="92" t="str">
        <f t="shared" si="5"/>
        <v xml:space="preserve">Артем Голубев+Тимофей+Игорь                                                                                                                                                         </v>
      </c>
      <c r="T7" s="92" t="s">
        <v>1537</v>
      </c>
      <c r="U7" s="104" t="str">
        <f>_xlfn.CONCAT(L7,G7)</f>
        <v xml:space="preserve">                                                                                                                                                                                    0713347913</v>
      </c>
      <c r="V7" s="104" t="str">
        <f>RIGHT(U7,25)</f>
        <v xml:space="preserve">               0713347913</v>
      </c>
      <c r="W7" s="105" t="s">
        <v>1621</v>
      </c>
    </row>
    <row r="8" spans="1:24" x14ac:dyDescent="0.25">
      <c r="E8" s="74" t="s">
        <v>630</v>
      </c>
      <c r="F8" s="76" t="s">
        <v>422</v>
      </c>
      <c r="G8" s="95" t="s">
        <v>423</v>
      </c>
      <c r="H8" s="76"/>
      <c r="I8" s="76" t="s">
        <v>424</v>
      </c>
      <c r="J8" s="77"/>
      <c r="K8" s="83" t="s">
        <v>1524</v>
      </c>
      <c r="L8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8" s="89" t="s">
        <v>630</v>
      </c>
      <c r="N8" s="87" t="str">
        <f t="shared" si="1"/>
        <v>0000000000007</v>
      </c>
      <c r="O8" s="88">
        <f t="shared" si="2"/>
        <v>13</v>
      </c>
      <c r="P8" s="88" t="str">
        <f t="shared" si="3"/>
        <v>0000000007</v>
      </c>
      <c r="Q8" s="88" t="s">
        <v>1137</v>
      </c>
      <c r="R8" s="92" t="str">
        <f t="shared" si="4"/>
        <v xml:space="preserve">Наташа Алферова                                                                                                                                                                                    </v>
      </c>
      <c r="S8" s="92" t="str">
        <f t="shared" si="5"/>
        <v xml:space="preserve">Наташа Алферова                                                                                                                                                                     </v>
      </c>
      <c r="T8" s="92" t="s">
        <v>1538</v>
      </c>
      <c r="U8" s="104" t="str">
        <f t="shared" ref="U8:U71" si="8">_xlfn.CONCAT(L8,G8)</f>
        <v xml:space="preserve">                                                                                                                                                                                    0713699176</v>
      </c>
      <c r="V8" s="104" t="str">
        <f t="shared" ref="V8:V71" si="9">RIGHT(U8,25)</f>
        <v xml:space="preserve">               0713699176</v>
      </c>
      <c r="W8" s="105" t="s">
        <v>1622</v>
      </c>
    </row>
    <row r="9" spans="1:24" x14ac:dyDescent="0.25">
      <c r="E9" s="74" t="s">
        <v>631</v>
      </c>
      <c r="F9" s="76" t="s">
        <v>425</v>
      </c>
      <c r="G9" s="95" t="s">
        <v>426</v>
      </c>
      <c r="H9" s="76"/>
      <c r="I9" s="76" t="s">
        <v>427</v>
      </c>
      <c r="J9" s="77" t="s">
        <v>428</v>
      </c>
      <c r="K9" s="83" t="s">
        <v>1524</v>
      </c>
      <c r="L9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9" s="89" t="s">
        <v>631</v>
      </c>
      <c r="N9" s="87" t="str">
        <f t="shared" si="1"/>
        <v>0000000000008</v>
      </c>
      <c r="O9" s="88">
        <f t="shared" si="2"/>
        <v>13</v>
      </c>
      <c r="P9" s="88" t="str">
        <f t="shared" si="3"/>
        <v>0000000008</v>
      </c>
      <c r="Q9" s="88" t="s">
        <v>1138</v>
      </c>
      <c r="R9" s="92" t="str">
        <f t="shared" si="4"/>
        <v xml:space="preserve">Оля Импульс                                                                                                                                                                                    </v>
      </c>
      <c r="S9" s="92" t="str">
        <f t="shared" si="5"/>
        <v xml:space="preserve">Оля Импульс                                                                                                                                                                         </v>
      </c>
      <c r="T9" s="92" t="s">
        <v>1539</v>
      </c>
      <c r="U9" s="104" t="str">
        <f t="shared" si="8"/>
        <v xml:space="preserve">                                                                                                                                                                                    0713853526</v>
      </c>
      <c r="V9" s="104" t="str">
        <f t="shared" si="9"/>
        <v xml:space="preserve">               0713853526</v>
      </c>
      <c r="W9" s="105" t="s">
        <v>1623</v>
      </c>
    </row>
    <row r="10" spans="1:24" x14ac:dyDescent="0.25">
      <c r="E10" s="74" t="s">
        <v>632</v>
      </c>
      <c r="F10" s="76" t="s">
        <v>429</v>
      </c>
      <c r="G10" s="95" t="s">
        <v>430</v>
      </c>
      <c r="H10" s="76" t="s">
        <v>431</v>
      </c>
      <c r="I10" s="76" t="s">
        <v>432</v>
      </c>
      <c r="J10" s="77" t="s">
        <v>433</v>
      </c>
      <c r="K10" s="83" t="s">
        <v>1524</v>
      </c>
      <c r="L10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10" s="89" t="s">
        <v>632</v>
      </c>
      <c r="N10" s="87" t="str">
        <f t="shared" si="1"/>
        <v>0000000000009</v>
      </c>
      <c r="O10" s="88">
        <f t="shared" si="2"/>
        <v>13</v>
      </c>
      <c r="P10" s="88" t="str">
        <f t="shared" si="3"/>
        <v>0000000009</v>
      </c>
      <c r="Q10" s="88" t="s">
        <v>1139</v>
      </c>
      <c r="R10" s="92" t="str">
        <f t="shared" si="4"/>
        <v xml:space="preserve">Нистеренко Наташа                                                                                                                                                                                     </v>
      </c>
      <c r="S10" s="92" t="str">
        <f t="shared" si="5"/>
        <v xml:space="preserve">Нистеренко Наташа                                                                                                                                                                   </v>
      </c>
      <c r="T10" s="92" t="s">
        <v>1540</v>
      </c>
      <c r="U10" s="104" t="str">
        <f t="shared" si="8"/>
        <v xml:space="preserve">                                                                                                                                                                                    0713306420</v>
      </c>
      <c r="V10" s="104" t="str">
        <f t="shared" si="9"/>
        <v xml:space="preserve">               0713306420</v>
      </c>
      <c r="W10" s="105" t="s">
        <v>1624</v>
      </c>
    </row>
    <row r="11" spans="1:24" x14ac:dyDescent="0.25">
      <c r="E11" s="74" t="s">
        <v>633</v>
      </c>
      <c r="F11" s="76" t="s">
        <v>434</v>
      </c>
      <c r="G11" s="95" t="s">
        <v>435</v>
      </c>
      <c r="H11" s="76"/>
      <c r="I11" s="76" t="s">
        <v>436</v>
      </c>
      <c r="J11" s="77" t="s">
        <v>433</v>
      </c>
      <c r="K11" s="83" t="s">
        <v>1524</v>
      </c>
      <c r="L11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11" s="89" t="s">
        <v>633</v>
      </c>
      <c r="N11" s="87" t="str">
        <f t="shared" si="1"/>
        <v>0000000000010</v>
      </c>
      <c r="O11" s="88">
        <f t="shared" si="2"/>
        <v>13</v>
      </c>
      <c r="P11" s="88" t="str">
        <f t="shared" si="3"/>
        <v>0000000010</v>
      </c>
      <c r="Q11" s="88" t="s">
        <v>1140</v>
      </c>
      <c r="R11" s="92" t="str">
        <f t="shared" si="4"/>
        <v xml:space="preserve">Наташа Шахтерск                                                                                                                                                                                    </v>
      </c>
      <c r="S11" s="92" t="str">
        <f t="shared" si="5"/>
        <v xml:space="preserve">Наташа Шахтерск                                                                                                                                                                     </v>
      </c>
      <c r="T11" s="92" t="s">
        <v>1541</v>
      </c>
      <c r="U11" s="104" t="str">
        <f t="shared" si="8"/>
        <v xml:space="preserve">                                                                                                                                                                                    0713260038</v>
      </c>
      <c r="V11" s="104" t="str">
        <f t="shared" si="9"/>
        <v xml:space="preserve">               0713260038</v>
      </c>
      <c r="W11" s="105" t="s">
        <v>1625</v>
      </c>
    </row>
    <row r="12" spans="1:24" x14ac:dyDescent="0.25">
      <c r="E12" s="74" t="s">
        <v>634</v>
      </c>
      <c r="F12" s="76" t="s">
        <v>437</v>
      </c>
      <c r="G12" s="95" t="s">
        <v>438</v>
      </c>
      <c r="H12" s="76"/>
      <c r="I12" s="76" t="s">
        <v>439</v>
      </c>
      <c r="J12" s="77" t="s">
        <v>440</v>
      </c>
      <c r="K12" s="83" t="s">
        <v>1524</v>
      </c>
      <c r="L12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12" s="89" t="s">
        <v>634</v>
      </c>
      <c r="N12" s="87" t="str">
        <f t="shared" si="1"/>
        <v>0000000000011</v>
      </c>
      <c r="O12" s="88">
        <f t="shared" si="2"/>
        <v>13</v>
      </c>
      <c r="P12" s="88" t="str">
        <f t="shared" si="3"/>
        <v>0000000011</v>
      </c>
      <c r="Q12" s="88" t="s">
        <v>1141</v>
      </c>
      <c r="R12" s="92" t="str">
        <f t="shared" si="4"/>
        <v xml:space="preserve">Михаил Донпринт                                                                                                                                                                                    </v>
      </c>
      <c r="S12" s="92" t="str">
        <f t="shared" si="5"/>
        <v xml:space="preserve">Михаил Донпринт                                                                                                                                                                     </v>
      </c>
      <c r="T12" s="92" t="s">
        <v>1542</v>
      </c>
      <c r="U12" s="104" t="str">
        <f t="shared" si="8"/>
        <v xml:space="preserve">                                                                                                                                                                                    0713030110</v>
      </c>
      <c r="V12" s="104" t="str">
        <f t="shared" si="9"/>
        <v xml:space="preserve">               0713030110</v>
      </c>
      <c r="W12" s="105" t="s">
        <v>1626</v>
      </c>
    </row>
    <row r="13" spans="1:24" x14ac:dyDescent="0.25">
      <c r="E13" s="74" t="s">
        <v>635</v>
      </c>
      <c r="F13" s="76" t="s">
        <v>441</v>
      </c>
      <c r="G13" s="95" t="s">
        <v>442</v>
      </c>
      <c r="H13" s="76"/>
      <c r="I13" s="76" t="s">
        <v>443</v>
      </c>
      <c r="J13" s="77"/>
      <c r="K13" s="83" t="s">
        <v>1524</v>
      </c>
      <c r="L13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13" s="89" t="s">
        <v>635</v>
      </c>
      <c r="N13" s="87" t="str">
        <f t="shared" si="1"/>
        <v>0000000000012</v>
      </c>
      <c r="O13" s="88">
        <f t="shared" si="2"/>
        <v>13</v>
      </c>
      <c r="P13" s="88" t="str">
        <f t="shared" si="3"/>
        <v>0000000012</v>
      </c>
      <c r="Q13" s="88" t="s">
        <v>1142</v>
      </c>
      <c r="R13" s="92" t="str">
        <f t="shared" si="4"/>
        <v xml:space="preserve">Богдан                                                                                                                                                                                    </v>
      </c>
      <c r="S13" s="92" t="str">
        <f t="shared" si="5"/>
        <v xml:space="preserve">Богдан                                                                                                                                                                              </v>
      </c>
      <c r="T13" s="92" t="s">
        <v>1543</v>
      </c>
      <c r="U13" s="104" t="str">
        <f t="shared" si="8"/>
        <v xml:space="preserve">                                                                                                                                                                                    0713090610</v>
      </c>
      <c r="V13" s="104" t="str">
        <f t="shared" si="9"/>
        <v xml:space="preserve">               0713090610</v>
      </c>
      <c r="W13" s="105" t="s">
        <v>1627</v>
      </c>
    </row>
    <row r="14" spans="1:24" x14ac:dyDescent="0.25">
      <c r="E14" s="74" t="s">
        <v>636</v>
      </c>
      <c r="F14" s="77" t="s">
        <v>444</v>
      </c>
      <c r="G14" s="98" t="s">
        <v>445</v>
      </c>
      <c r="H14" s="77"/>
      <c r="I14" s="76" t="s">
        <v>446</v>
      </c>
      <c r="J14" s="77"/>
      <c r="K14" s="83" t="s">
        <v>1524</v>
      </c>
      <c r="L14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14" s="89" t="s">
        <v>636</v>
      </c>
      <c r="N14" s="87" t="str">
        <f t="shared" si="1"/>
        <v>0000000000013</v>
      </c>
      <c r="O14" s="88">
        <f t="shared" si="2"/>
        <v>13</v>
      </c>
      <c r="P14" s="88" t="str">
        <f t="shared" si="3"/>
        <v>0000000013</v>
      </c>
      <c r="Q14" s="88" t="s">
        <v>1143</v>
      </c>
      <c r="R14" s="92" t="str">
        <f t="shared" si="4"/>
        <v xml:space="preserve">Брич Евгений                                                                                                                                                                                    </v>
      </c>
      <c r="S14" s="92" t="str">
        <f t="shared" si="5"/>
        <v xml:space="preserve">Брич Евгений                                                                                                                                                                        </v>
      </c>
      <c r="T14" s="92" t="s">
        <v>1544</v>
      </c>
      <c r="U14" s="104" t="str">
        <f t="shared" si="8"/>
        <v xml:space="preserve">                                                                                                                                                                                    0713224491</v>
      </c>
      <c r="V14" s="104" t="str">
        <f t="shared" si="9"/>
        <v xml:space="preserve">               0713224491</v>
      </c>
      <c r="W14" s="105" t="s">
        <v>1628</v>
      </c>
    </row>
    <row r="15" spans="1:24" x14ac:dyDescent="0.25">
      <c r="E15" s="74" t="s">
        <v>637</v>
      </c>
      <c r="F15" s="77" t="s">
        <v>447</v>
      </c>
      <c r="G15" s="95" t="s">
        <v>448</v>
      </c>
      <c r="H15" s="77"/>
      <c r="I15" s="76" t="s">
        <v>449</v>
      </c>
      <c r="J15" s="77"/>
      <c r="K15" s="83" t="s">
        <v>1524</v>
      </c>
      <c r="L15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15" s="89" t="s">
        <v>637</v>
      </c>
      <c r="N15" s="87" t="str">
        <f t="shared" si="1"/>
        <v>0000000000014</v>
      </c>
      <c r="O15" s="88">
        <f t="shared" si="2"/>
        <v>13</v>
      </c>
      <c r="P15" s="88" t="str">
        <f t="shared" si="3"/>
        <v>0000000014</v>
      </c>
      <c r="Q15" s="88" t="s">
        <v>1144</v>
      </c>
      <c r="R15" s="92" t="str">
        <f t="shared" si="4"/>
        <v xml:space="preserve">Дед Мороз Александр Анатольевич                                                                                                                                                                                    </v>
      </c>
      <c r="S15" s="92" t="str">
        <f t="shared" si="5"/>
        <v xml:space="preserve">Дед Мороз Александр Анатольевич                                                                                                                                                     </v>
      </c>
      <c r="T15" s="92" t="s">
        <v>1545</v>
      </c>
      <c r="U15" s="104" t="str">
        <f t="shared" si="8"/>
        <v xml:space="preserve">                                                                                                                                                                                    0713751323</v>
      </c>
      <c r="V15" s="104" t="str">
        <f t="shared" si="9"/>
        <v xml:space="preserve">               0713751323</v>
      </c>
      <c r="W15" s="105" t="s">
        <v>1629</v>
      </c>
    </row>
    <row r="16" spans="1:24" x14ac:dyDescent="0.25">
      <c r="E16" s="74" t="s">
        <v>638</v>
      </c>
      <c r="F16" s="77" t="s">
        <v>450</v>
      </c>
      <c r="G16" s="95" t="s">
        <v>451</v>
      </c>
      <c r="H16" s="77"/>
      <c r="I16" s="76" t="s">
        <v>452</v>
      </c>
      <c r="J16" s="77"/>
      <c r="K16" s="83" t="s">
        <v>1524</v>
      </c>
      <c r="L16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16" s="89" t="s">
        <v>638</v>
      </c>
      <c r="N16" s="87" t="str">
        <f t="shared" si="1"/>
        <v>0000000000015</v>
      </c>
      <c r="O16" s="88">
        <f t="shared" si="2"/>
        <v>13</v>
      </c>
      <c r="P16" s="88" t="str">
        <f t="shared" si="3"/>
        <v>0000000015</v>
      </c>
      <c r="Q16" s="88" t="s">
        <v>1145</v>
      </c>
      <c r="R16" s="92" t="str">
        <f t="shared" si="4"/>
        <v xml:space="preserve">Гайваронская Наталья Владиславовна                                                                                                                                                                                    </v>
      </c>
      <c r="S16" s="92" t="str">
        <f t="shared" si="5"/>
        <v xml:space="preserve">Гайваронская Наталья Владиславовна                                                                                                                                                  </v>
      </c>
      <c r="T16" s="92" t="s">
        <v>1546</v>
      </c>
      <c r="U16" s="104" t="str">
        <f t="shared" si="8"/>
        <v xml:space="preserve">                                                                                                                                                                                    0713215803</v>
      </c>
      <c r="V16" s="104" t="str">
        <f t="shared" si="9"/>
        <v xml:space="preserve">               0713215803</v>
      </c>
      <c r="W16" s="105" t="s">
        <v>1630</v>
      </c>
    </row>
    <row r="17" spans="5:23" x14ac:dyDescent="0.25">
      <c r="E17" s="74" t="s">
        <v>639</v>
      </c>
      <c r="F17" s="77" t="s">
        <v>453</v>
      </c>
      <c r="G17" s="95" t="s">
        <v>454</v>
      </c>
      <c r="H17" s="77"/>
      <c r="I17" s="76" t="s">
        <v>455</v>
      </c>
      <c r="J17" s="77"/>
      <c r="K17" s="83" t="s">
        <v>1524</v>
      </c>
      <c r="L17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17" s="89" t="s">
        <v>639</v>
      </c>
      <c r="N17" s="87" t="str">
        <f t="shared" si="1"/>
        <v>0000000000016</v>
      </c>
      <c r="O17" s="88">
        <f t="shared" si="2"/>
        <v>13</v>
      </c>
      <c r="P17" s="88" t="str">
        <f t="shared" si="3"/>
        <v>0000000016</v>
      </c>
      <c r="Q17" s="88" t="s">
        <v>1146</v>
      </c>
      <c r="R17" s="92" t="str">
        <f t="shared" si="4"/>
        <v xml:space="preserve">Ира Гунько                                                                                                                                                                                    </v>
      </c>
      <c r="S17" s="92" t="str">
        <f t="shared" si="5"/>
        <v xml:space="preserve">Ира Гунько                                                                                                                                                                          </v>
      </c>
      <c r="T17" s="92" t="s">
        <v>1547</v>
      </c>
      <c r="U17" s="104" t="str">
        <f t="shared" si="8"/>
        <v xml:space="preserve">                                                                                                                                                                                    0713330637</v>
      </c>
      <c r="V17" s="104" t="str">
        <f t="shared" si="9"/>
        <v xml:space="preserve">               0713330637</v>
      </c>
      <c r="W17" s="105" t="s">
        <v>1631</v>
      </c>
    </row>
    <row r="18" spans="5:23" x14ac:dyDescent="0.25">
      <c r="E18" s="74" t="s">
        <v>640</v>
      </c>
      <c r="F18" s="77" t="s">
        <v>456</v>
      </c>
      <c r="G18" s="98" t="s">
        <v>457</v>
      </c>
      <c r="H18" s="77"/>
      <c r="I18" s="76" t="s">
        <v>458</v>
      </c>
      <c r="J18" s="77"/>
      <c r="K18" s="83" t="s">
        <v>1524</v>
      </c>
      <c r="L18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18" s="89" t="s">
        <v>640</v>
      </c>
      <c r="N18" s="87" t="str">
        <f t="shared" si="1"/>
        <v>0000000000017</v>
      </c>
      <c r="O18" s="88">
        <f t="shared" si="2"/>
        <v>13</v>
      </c>
      <c r="P18" s="88" t="str">
        <f t="shared" si="3"/>
        <v>0000000017</v>
      </c>
      <c r="Q18" s="88" t="s">
        <v>1147</v>
      </c>
      <c r="R18" s="92" t="str">
        <f t="shared" si="4"/>
        <v xml:space="preserve">Быкадоров Данил Снежное                                                                                                                                                                                    </v>
      </c>
      <c r="S18" s="92" t="str">
        <f t="shared" si="5"/>
        <v xml:space="preserve">Быкадоров Данил Снежное                                                                                                                                                             </v>
      </c>
      <c r="T18" s="92" t="s">
        <v>1548</v>
      </c>
      <c r="U18" s="104" t="str">
        <f t="shared" si="8"/>
        <v xml:space="preserve">                                                                                                                                                                                    0713270040</v>
      </c>
      <c r="V18" s="104" t="str">
        <f t="shared" si="9"/>
        <v xml:space="preserve">               0713270040</v>
      </c>
      <c r="W18" s="105" t="s">
        <v>1632</v>
      </c>
    </row>
    <row r="19" spans="5:23" x14ac:dyDescent="0.25">
      <c r="E19" s="74" t="s">
        <v>641</v>
      </c>
      <c r="F19" s="77" t="s">
        <v>459</v>
      </c>
      <c r="G19" s="98" t="s">
        <v>460</v>
      </c>
      <c r="H19" s="77"/>
      <c r="I19" s="76" t="s">
        <v>461</v>
      </c>
      <c r="J19" s="77"/>
      <c r="K19" s="83" t="s">
        <v>1524</v>
      </c>
      <c r="L19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19" s="89" t="s">
        <v>641</v>
      </c>
      <c r="N19" s="87" t="str">
        <f t="shared" si="1"/>
        <v>0000000000018</v>
      </c>
      <c r="O19" s="88">
        <f t="shared" si="2"/>
        <v>13</v>
      </c>
      <c r="P19" s="88" t="str">
        <f t="shared" si="3"/>
        <v>0000000018</v>
      </c>
      <c r="Q19" s="88" t="s">
        <v>1148</v>
      </c>
      <c r="R19" s="92" t="str">
        <f t="shared" si="4"/>
        <v xml:space="preserve">Даша Золотое кольцо                                                                                                                                                                                    </v>
      </c>
      <c r="S19" s="92" t="str">
        <f t="shared" si="5"/>
        <v xml:space="preserve">Даша Золотое кольцо                                                                                                                                                                 </v>
      </c>
      <c r="T19" s="92" t="s">
        <v>1549</v>
      </c>
      <c r="U19" s="104" t="str">
        <f t="shared" si="8"/>
        <v xml:space="preserve">                                                                                                                                                                                    0714765177</v>
      </c>
      <c r="V19" s="104" t="str">
        <f t="shared" si="9"/>
        <v xml:space="preserve">               0714765177</v>
      </c>
      <c r="W19" s="105" t="s">
        <v>1633</v>
      </c>
    </row>
    <row r="20" spans="5:23" x14ac:dyDescent="0.25">
      <c r="E20" s="74" t="s">
        <v>642</v>
      </c>
      <c r="F20" s="77" t="s">
        <v>462</v>
      </c>
      <c r="G20" s="98" t="s">
        <v>463</v>
      </c>
      <c r="H20" s="77"/>
      <c r="I20" s="76" t="s">
        <v>464</v>
      </c>
      <c r="J20" s="77"/>
      <c r="K20" s="83" t="s">
        <v>1524</v>
      </c>
      <c r="L20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20" s="89" t="s">
        <v>642</v>
      </c>
      <c r="N20" s="87" t="str">
        <f t="shared" si="1"/>
        <v>0000000000019</v>
      </c>
      <c r="O20" s="88">
        <f t="shared" si="2"/>
        <v>13</v>
      </c>
      <c r="P20" s="88" t="str">
        <f t="shared" si="3"/>
        <v>0000000019</v>
      </c>
      <c r="Q20" s="88" t="s">
        <v>1149</v>
      </c>
      <c r="R20" s="92" t="str">
        <f t="shared" si="4"/>
        <v xml:space="preserve">Александр Владимирович фотограф                                                                                                                                                                                    </v>
      </c>
      <c r="S20" s="92" t="str">
        <f t="shared" si="5"/>
        <v xml:space="preserve">Александр Владимирович фотограф                                                                                                                                                     </v>
      </c>
      <c r="T20" s="92" t="s">
        <v>1550</v>
      </c>
      <c r="U20" s="104" t="str">
        <f t="shared" si="8"/>
        <v xml:space="preserve">                                                                                                                                                                                    0714663992</v>
      </c>
      <c r="V20" s="104" t="str">
        <f t="shared" si="9"/>
        <v xml:space="preserve">               0714663992</v>
      </c>
      <c r="W20" s="105" t="s">
        <v>1634</v>
      </c>
    </row>
    <row r="21" spans="5:23" x14ac:dyDescent="0.25">
      <c r="E21" s="74" t="s">
        <v>643</v>
      </c>
      <c r="F21" s="77" t="s">
        <v>465</v>
      </c>
      <c r="G21" s="98" t="s">
        <v>466</v>
      </c>
      <c r="H21" s="77"/>
      <c r="I21" s="76" t="s">
        <v>467</v>
      </c>
      <c r="J21" s="77"/>
      <c r="K21" s="83" t="s">
        <v>1524</v>
      </c>
      <c r="L21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21" s="89" t="s">
        <v>643</v>
      </c>
      <c r="N21" s="87" t="str">
        <f t="shared" si="1"/>
        <v>0000000000020</v>
      </c>
      <c r="O21" s="88">
        <f t="shared" si="2"/>
        <v>13</v>
      </c>
      <c r="P21" s="88" t="str">
        <f t="shared" si="3"/>
        <v>0000000020</v>
      </c>
      <c r="Q21" s="88" t="s">
        <v>1150</v>
      </c>
      <c r="R21" s="92" t="str">
        <f t="shared" si="4"/>
        <v xml:space="preserve">Липучки Алена Макеевка                                                                                                                                                                                    </v>
      </c>
      <c r="S21" s="92" t="str">
        <f t="shared" si="5"/>
        <v xml:space="preserve">Липучки Алена Макеевка                                                                                                                                                              </v>
      </c>
      <c r="T21" s="92" t="s">
        <v>1551</v>
      </c>
      <c r="U21" s="104" t="str">
        <f t="shared" si="8"/>
        <v xml:space="preserve">                                                                                                                                                                                    0714137173</v>
      </c>
      <c r="V21" s="104" t="str">
        <f t="shared" si="9"/>
        <v xml:space="preserve">               0714137173</v>
      </c>
      <c r="W21" s="105" t="s">
        <v>1635</v>
      </c>
    </row>
    <row r="22" spans="5:23" x14ac:dyDescent="0.25">
      <c r="E22" s="74" t="s">
        <v>644</v>
      </c>
      <c r="F22" s="77" t="s">
        <v>468</v>
      </c>
      <c r="G22" s="99"/>
      <c r="H22" s="77"/>
      <c r="I22" s="76" t="s">
        <v>469</v>
      </c>
      <c r="J22" s="77"/>
      <c r="K22" s="83" t="s">
        <v>1524</v>
      </c>
      <c r="L22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22" s="89" t="s">
        <v>644</v>
      </c>
      <c r="N22" s="87" t="str">
        <f t="shared" si="1"/>
        <v>0000000000021</v>
      </c>
      <c r="O22" s="88">
        <f t="shared" si="2"/>
        <v>13</v>
      </c>
      <c r="P22" s="88" t="str">
        <f t="shared" si="3"/>
        <v>0000000021</v>
      </c>
      <c r="Q22" s="88" t="s">
        <v>1151</v>
      </c>
      <c r="R22" s="92" t="str">
        <f t="shared" si="4"/>
        <v xml:space="preserve">ФЛП Барановский Александр                                                                                                                                                                                    </v>
      </c>
      <c r="S22" s="92" t="str">
        <f t="shared" si="5"/>
        <v xml:space="preserve">ФЛП Барановский Александр                                                                                                                                                           </v>
      </c>
      <c r="T22" s="92" t="s">
        <v>1552</v>
      </c>
      <c r="U22" s="104" t="str">
        <f t="shared" si="8"/>
        <v xml:space="preserve">                                                                                                                                                                                    </v>
      </c>
      <c r="V22" s="104" t="str">
        <f t="shared" si="9"/>
        <v xml:space="preserve">                         </v>
      </c>
      <c r="W22" s="105" t="s">
        <v>1618</v>
      </c>
    </row>
    <row r="23" spans="5:23" x14ac:dyDescent="0.25">
      <c r="E23" s="74" t="s">
        <v>645</v>
      </c>
      <c r="F23" s="77" t="s">
        <v>470</v>
      </c>
      <c r="G23" s="99" t="s">
        <v>471</v>
      </c>
      <c r="H23" s="77"/>
      <c r="I23" s="76" t="s">
        <v>472</v>
      </c>
      <c r="J23" s="77"/>
      <c r="K23" s="83" t="s">
        <v>1524</v>
      </c>
      <c r="L23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23" s="89" t="s">
        <v>645</v>
      </c>
      <c r="N23" s="87" t="str">
        <f t="shared" si="1"/>
        <v>0000000000022</v>
      </c>
      <c r="O23" s="88">
        <f t="shared" si="2"/>
        <v>13</v>
      </c>
      <c r="P23" s="88" t="str">
        <f t="shared" si="3"/>
        <v>0000000022</v>
      </c>
      <c r="Q23" s="88" t="s">
        <v>1152</v>
      </c>
      <c r="R23" s="92" t="str">
        <f t="shared" si="4"/>
        <v xml:space="preserve">Ванин Сергей Алексеевич Докучаевск                                                                                                                                                                                     </v>
      </c>
      <c r="S23" s="92" t="str">
        <f t="shared" si="5"/>
        <v xml:space="preserve">Ванин Сергей Алексеевич Докучаевск                                                                                                                                                  </v>
      </c>
      <c r="T23" s="92" t="s">
        <v>1553</v>
      </c>
      <c r="U23" s="104" t="str">
        <f t="shared" si="8"/>
        <v xml:space="preserve">                                                                                                                                                                                    0713137284</v>
      </c>
      <c r="V23" s="104" t="str">
        <f t="shared" si="9"/>
        <v xml:space="preserve">               0713137284</v>
      </c>
      <c r="W23" s="105" t="s">
        <v>1636</v>
      </c>
    </row>
    <row r="24" spans="5:23" x14ac:dyDescent="0.25">
      <c r="E24" s="74" t="s">
        <v>646</v>
      </c>
      <c r="F24" s="77" t="s">
        <v>473</v>
      </c>
      <c r="G24" s="99"/>
      <c r="H24" s="77"/>
      <c r="I24" s="76" t="s">
        <v>474</v>
      </c>
      <c r="J24" s="77"/>
      <c r="K24" s="83" t="s">
        <v>1524</v>
      </c>
      <c r="L24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24" s="89" t="s">
        <v>646</v>
      </c>
      <c r="N24" s="87" t="str">
        <f t="shared" si="1"/>
        <v>0000000000023</v>
      </c>
      <c r="O24" s="88">
        <f t="shared" si="2"/>
        <v>13</v>
      </c>
      <c r="P24" s="88" t="str">
        <f t="shared" si="3"/>
        <v>0000000023</v>
      </c>
      <c r="Q24" s="88" t="s">
        <v>1153</v>
      </c>
      <c r="R24" s="92" t="str">
        <f t="shared" si="4"/>
        <v xml:space="preserve">НА ШАРУ - рынок                                                                                                                                                                                    </v>
      </c>
      <c r="S24" s="92" t="str">
        <f t="shared" si="5"/>
        <v xml:space="preserve">НА ШАРУ - рынок                                                                                                                                                                     </v>
      </c>
      <c r="T24" s="92" t="s">
        <v>1554</v>
      </c>
      <c r="U24" s="104" t="str">
        <f t="shared" si="8"/>
        <v xml:space="preserve">                                                                                                                                                                                    </v>
      </c>
      <c r="V24" s="104" t="str">
        <f t="shared" si="9"/>
        <v xml:space="preserve">                         </v>
      </c>
      <c r="W24" s="105" t="s">
        <v>1618</v>
      </c>
    </row>
    <row r="25" spans="5:23" x14ac:dyDescent="0.25">
      <c r="E25" s="74" t="s">
        <v>647</v>
      </c>
      <c r="F25" s="77" t="s">
        <v>475</v>
      </c>
      <c r="G25" s="99" t="s">
        <v>476</v>
      </c>
      <c r="H25" s="77"/>
      <c r="I25" s="76" t="s">
        <v>477</v>
      </c>
      <c r="J25" s="77"/>
      <c r="K25" s="83" t="s">
        <v>1524</v>
      </c>
      <c r="L25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25" s="89" t="s">
        <v>647</v>
      </c>
      <c r="N25" s="87" t="str">
        <f t="shared" si="1"/>
        <v>0000000000024</v>
      </c>
      <c r="O25" s="88">
        <f t="shared" si="2"/>
        <v>13</v>
      </c>
      <c r="P25" s="88" t="str">
        <f t="shared" si="3"/>
        <v>0000000024</v>
      </c>
      <c r="Q25" s="88" t="s">
        <v>1154</v>
      </c>
      <c r="R25" s="92" t="str">
        <f t="shared" si="4"/>
        <v xml:space="preserve">Игорь Львович Юра                                                                                                                                                                                    </v>
      </c>
      <c r="S25" s="92" t="str">
        <f t="shared" si="5"/>
        <v xml:space="preserve">Игорь Львович Юра                                                                                                                                                                   </v>
      </c>
      <c r="T25" s="92" t="s">
        <v>1555</v>
      </c>
      <c r="U25" s="104" t="str">
        <f t="shared" si="8"/>
        <v xml:space="preserve">                                                                                                                                                                                    0713218918</v>
      </c>
      <c r="V25" s="104" t="str">
        <f t="shared" si="9"/>
        <v xml:space="preserve">               0713218918</v>
      </c>
      <c r="W25" s="105" t="s">
        <v>1637</v>
      </c>
    </row>
    <row r="26" spans="5:23" x14ac:dyDescent="0.25">
      <c r="E26" s="74" t="s">
        <v>648</v>
      </c>
      <c r="F26" s="77" t="s">
        <v>478</v>
      </c>
      <c r="G26" s="99" t="s">
        <v>479</v>
      </c>
      <c r="H26" s="77"/>
      <c r="I26" s="76" t="s">
        <v>480</v>
      </c>
      <c r="J26" s="77"/>
      <c r="K26" s="83" t="s">
        <v>1524</v>
      </c>
      <c r="L26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26" s="89" t="s">
        <v>648</v>
      </c>
      <c r="N26" s="87" t="str">
        <f t="shared" si="1"/>
        <v>0000000000025</v>
      </c>
      <c r="O26" s="88">
        <f t="shared" si="2"/>
        <v>13</v>
      </c>
      <c r="P26" s="88" t="str">
        <f t="shared" si="3"/>
        <v>0000000025</v>
      </c>
      <c r="Q26" s="88" t="s">
        <v>1155</v>
      </c>
      <c r="R26" s="92" t="str">
        <f t="shared" si="4"/>
        <v xml:space="preserve">196 Александр                                                                                                                                                                                    </v>
      </c>
      <c r="S26" s="92" t="str">
        <f t="shared" si="5"/>
        <v xml:space="preserve">196 Александр                                                                                                                                                                       </v>
      </c>
      <c r="T26" s="92" t="s">
        <v>1556</v>
      </c>
      <c r="U26" s="104" t="str">
        <f t="shared" si="8"/>
        <v xml:space="preserve">                                                                                                                                                                                    0713148348</v>
      </c>
      <c r="V26" s="104" t="str">
        <f t="shared" si="9"/>
        <v xml:space="preserve">               0713148348</v>
      </c>
      <c r="W26" s="105" t="s">
        <v>1638</v>
      </c>
    </row>
    <row r="27" spans="5:23" x14ac:dyDescent="0.25">
      <c r="E27" s="74" t="s">
        <v>649</v>
      </c>
      <c r="F27" s="77" t="s">
        <v>481</v>
      </c>
      <c r="G27" s="99"/>
      <c r="H27" s="77"/>
      <c r="I27" s="76" t="s">
        <v>482</v>
      </c>
      <c r="J27" s="77"/>
      <c r="K27" s="83" t="s">
        <v>1524</v>
      </c>
      <c r="L27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27" s="89" t="s">
        <v>649</v>
      </c>
      <c r="N27" s="87" t="str">
        <f t="shared" si="1"/>
        <v>0000000000026</v>
      </c>
      <c r="O27" s="88">
        <f t="shared" si="2"/>
        <v>13</v>
      </c>
      <c r="P27" s="88" t="str">
        <f t="shared" si="3"/>
        <v>0000000026</v>
      </c>
      <c r="Q27" s="88" t="s">
        <v>1156</v>
      </c>
      <c r="R27" s="92" t="str">
        <f t="shared" si="4"/>
        <v xml:space="preserve">Борис Викторович Енакиево Электроника                                                                                                                                                                                    </v>
      </c>
      <c r="S27" s="92" t="str">
        <f t="shared" si="5"/>
        <v xml:space="preserve">Борис Викторович Енакиево Электроника                                                                                                                                               </v>
      </c>
      <c r="T27" s="92" t="s">
        <v>1557</v>
      </c>
      <c r="U27" s="104" t="str">
        <f t="shared" si="8"/>
        <v xml:space="preserve">                                                                                                                                                                                    </v>
      </c>
      <c r="V27" s="104" t="str">
        <f t="shared" si="9"/>
        <v xml:space="preserve">                         </v>
      </c>
      <c r="W27" s="105" t="s">
        <v>1618</v>
      </c>
    </row>
    <row r="28" spans="5:23" x14ac:dyDescent="0.25">
      <c r="E28" s="74" t="s">
        <v>650</v>
      </c>
      <c r="F28" s="77" t="s">
        <v>483</v>
      </c>
      <c r="G28" s="99" t="s">
        <v>484</v>
      </c>
      <c r="H28" s="77"/>
      <c r="I28" s="76" t="s">
        <v>485</v>
      </c>
      <c r="J28" s="77"/>
      <c r="K28" s="83" t="s">
        <v>1524</v>
      </c>
      <c r="L28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28" s="89" t="s">
        <v>650</v>
      </c>
      <c r="N28" s="87" t="str">
        <f t="shared" si="1"/>
        <v>0000000000027</v>
      </c>
      <c r="O28" s="88">
        <f t="shared" si="2"/>
        <v>13</v>
      </c>
      <c r="P28" s="88" t="str">
        <f t="shared" si="3"/>
        <v>0000000027</v>
      </c>
      <c r="Q28" s="88" t="s">
        <v>1157</v>
      </c>
      <c r="R28" s="92" t="str">
        <f t="shared" si="4"/>
        <v xml:space="preserve">Сидоренко Петровка Донецк                                                                                                                                                                                    </v>
      </c>
      <c r="S28" s="92" t="str">
        <f t="shared" si="5"/>
        <v xml:space="preserve">Сидоренко Петровка Донецк                                                                                                                                                           </v>
      </c>
      <c r="T28" s="92" t="s">
        <v>1558</v>
      </c>
      <c r="U28" s="104" t="str">
        <f t="shared" si="8"/>
        <v xml:space="preserve">                                                                                                                                                                                    0713315352</v>
      </c>
      <c r="V28" s="104" t="str">
        <f t="shared" si="9"/>
        <v xml:space="preserve">               0713315352</v>
      </c>
      <c r="W28" s="105" t="s">
        <v>1639</v>
      </c>
    </row>
    <row r="29" spans="5:23" x14ac:dyDescent="0.25">
      <c r="E29" s="74" t="s">
        <v>651</v>
      </c>
      <c r="F29" s="77" t="s">
        <v>486</v>
      </c>
      <c r="G29" s="99" t="s">
        <v>487</v>
      </c>
      <c r="H29" s="77"/>
      <c r="I29" s="76" t="s">
        <v>488</v>
      </c>
      <c r="J29" s="77"/>
      <c r="K29" s="83" t="s">
        <v>1524</v>
      </c>
      <c r="L29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29" s="89" t="s">
        <v>651</v>
      </c>
      <c r="N29" s="87" t="str">
        <f t="shared" si="1"/>
        <v>0000000000028</v>
      </c>
      <c r="O29" s="88">
        <f t="shared" si="2"/>
        <v>13</v>
      </c>
      <c r="P29" s="88" t="str">
        <f t="shared" si="3"/>
        <v>0000000028</v>
      </c>
      <c r="Q29" s="88" t="s">
        <v>1158</v>
      </c>
      <c r="R29" s="92" t="str">
        <f t="shared" si="4"/>
        <v xml:space="preserve">ФЛП Чуприн Юра                                                                                                                                                                                    </v>
      </c>
      <c r="S29" s="92" t="str">
        <f t="shared" si="5"/>
        <v xml:space="preserve">ФЛП Чуприн Юра                                                                                                                                                                      </v>
      </c>
      <c r="T29" s="92" t="s">
        <v>1559</v>
      </c>
      <c r="U29" s="104" t="str">
        <f t="shared" si="8"/>
        <v xml:space="preserve">                                                                                                                                                                                    0713360190</v>
      </c>
      <c r="V29" s="104" t="str">
        <f t="shared" si="9"/>
        <v xml:space="preserve">               0713360190</v>
      </c>
      <c r="W29" s="105" t="s">
        <v>1640</v>
      </c>
    </row>
    <row r="30" spans="5:23" x14ac:dyDescent="0.25">
      <c r="E30" s="74" t="s">
        <v>652</v>
      </c>
      <c r="F30" s="77" t="s">
        <v>489</v>
      </c>
      <c r="G30" s="99"/>
      <c r="H30" s="77"/>
      <c r="I30" s="76" t="s">
        <v>490</v>
      </c>
      <c r="J30" s="77"/>
      <c r="K30" s="83" t="s">
        <v>1524</v>
      </c>
      <c r="L30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30" s="89" t="s">
        <v>652</v>
      </c>
      <c r="N30" s="87" t="str">
        <f t="shared" si="1"/>
        <v>0000000000029</v>
      </c>
      <c r="O30" s="88">
        <f t="shared" si="2"/>
        <v>13</v>
      </c>
      <c r="P30" s="88" t="str">
        <f t="shared" si="3"/>
        <v>0000000029</v>
      </c>
      <c r="Q30" s="88" t="s">
        <v>1159</v>
      </c>
      <c r="R30" s="92" t="str">
        <f t="shared" si="4"/>
        <v xml:space="preserve">Администрация                                                                                                                                                                                    </v>
      </c>
      <c r="S30" s="92" t="str">
        <f t="shared" si="5"/>
        <v xml:space="preserve">Администрация                                                                                                                                                                       </v>
      </c>
      <c r="T30" s="92" t="s">
        <v>1560</v>
      </c>
      <c r="U30" s="104" t="str">
        <f t="shared" si="8"/>
        <v xml:space="preserve">                                                                                                                                                                                    </v>
      </c>
      <c r="V30" s="104" t="str">
        <f t="shared" si="9"/>
        <v xml:space="preserve">                         </v>
      </c>
      <c r="W30" s="105" t="s">
        <v>1618</v>
      </c>
    </row>
    <row r="31" spans="5:23" x14ac:dyDescent="0.25">
      <c r="E31" s="74" t="s">
        <v>653</v>
      </c>
      <c r="F31" s="77" t="s">
        <v>491</v>
      </c>
      <c r="G31" s="99" t="s">
        <v>492</v>
      </c>
      <c r="H31" s="77"/>
      <c r="I31" s="76" t="s">
        <v>493</v>
      </c>
      <c r="J31" s="77"/>
      <c r="K31" s="83" t="s">
        <v>1524</v>
      </c>
      <c r="L31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31" s="89" t="s">
        <v>653</v>
      </c>
      <c r="N31" s="87" t="str">
        <f t="shared" si="1"/>
        <v>0000000000030</v>
      </c>
      <c r="O31" s="88">
        <f t="shared" si="2"/>
        <v>13</v>
      </c>
      <c r="P31" s="88" t="str">
        <f t="shared" si="3"/>
        <v>0000000030</v>
      </c>
      <c r="Q31" s="88" t="s">
        <v>1160</v>
      </c>
      <c r="R31" s="92" t="str">
        <f t="shared" si="4"/>
        <v xml:space="preserve">Людмила Степановна                                                                                                                                                                                    </v>
      </c>
      <c r="S31" s="92" t="str">
        <f t="shared" si="5"/>
        <v xml:space="preserve">Людмила Степановна                                                                                                                                                                  </v>
      </c>
      <c r="T31" s="92" t="s">
        <v>1561</v>
      </c>
      <c r="U31" s="104" t="str">
        <f t="shared" si="8"/>
        <v xml:space="preserve">                                                                                                                                                                                    0713114488</v>
      </c>
      <c r="V31" s="104" t="str">
        <f t="shared" si="9"/>
        <v xml:space="preserve">               0713114488</v>
      </c>
      <c r="W31" s="105" t="s">
        <v>1641</v>
      </c>
    </row>
    <row r="32" spans="5:23" x14ac:dyDescent="0.25">
      <c r="E32" s="74" t="s">
        <v>654</v>
      </c>
      <c r="F32" s="77" t="s">
        <v>494</v>
      </c>
      <c r="G32" s="99"/>
      <c r="H32" s="77"/>
      <c r="I32" s="76" t="s">
        <v>495</v>
      </c>
      <c r="J32" s="77"/>
      <c r="K32" s="83" t="s">
        <v>1524</v>
      </c>
      <c r="L32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32" s="89" t="s">
        <v>654</v>
      </c>
      <c r="N32" s="87" t="str">
        <f t="shared" si="1"/>
        <v>0000000000031</v>
      </c>
      <c r="O32" s="88">
        <f t="shared" si="2"/>
        <v>13</v>
      </c>
      <c r="P32" s="88" t="str">
        <f t="shared" si="3"/>
        <v>0000000031</v>
      </c>
      <c r="Q32" s="88" t="s">
        <v>1161</v>
      </c>
      <c r="R32" s="92" t="str">
        <f t="shared" si="4"/>
        <v xml:space="preserve">Руслан Снежное                                                                                                                                                                                    </v>
      </c>
      <c r="S32" s="92" t="str">
        <f t="shared" si="5"/>
        <v xml:space="preserve">Руслан Снежное                                                                                                                                                                      </v>
      </c>
      <c r="T32" s="92" t="s">
        <v>1562</v>
      </c>
      <c r="U32" s="104" t="str">
        <f t="shared" si="8"/>
        <v xml:space="preserve">                                                                                                                                                                                    </v>
      </c>
      <c r="V32" s="104" t="str">
        <f t="shared" si="9"/>
        <v xml:space="preserve">                         </v>
      </c>
      <c r="W32" s="105" t="s">
        <v>1618</v>
      </c>
    </row>
    <row r="33" spans="5:23" x14ac:dyDescent="0.25">
      <c r="E33" s="74" t="s">
        <v>655</v>
      </c>
      <c r="F33" s="77" t="s">
        <v>496</v>
      </c>
      <c r="G33" s="99" t="s">
        <v>497</v>
      </c>
      <c r="H33" s="77"/>
      <c r="I33" s="76" t="s">
        <v>498</v>
      </c>
      <c r="J33" s="77"/>
      <c r="K33" s="83" t="s">
        <v>1524</v>
      </c>
      <c r="L33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33" s="89" t="s">
        <v>655</v>
      </c>
      <c r="N33" s="87" t="str">
        <f t="shared" si="1"/>
        <v>0000000000032</v>
      </c>
      <c r="O33" s="88">
        <f t="shared" si="2"/>
        <v>13</v>
      </c>
      <c r="P33" s="88" t="str">
        <f t="shared" si="3"/>
        <v>0000000032</v>
      </c>
      <c r="Q33" s="88" t="s">
        <v>1162</v>
      </c>
      <c r="R33" s="92" t="str">
        <f t="shared" si="4"/>
        <v xml:space="preserve">Игорь АБС ABC                                                                                                                                                                                    </v>
      </c>
      <c r="S33" s="92" t="str">
        <f t="shared" si="5"/>
        <v xml:space="preserve">Игорь АБС ABC                                                                                                                                                                       </v>
      </c>
      <c r="T33" s="92" t="s">
        <v>1563</v>
      </c>
      <c r="U33" s="104" t="str">
        <f t="shared" si="8"/>
        <v xml:space="preserve">                                                                                                                                                                                    0713407565</v>
      </c>
      <c r="V33" s="104" t="str">
        <f t="shared" si="9"/>
        <v xml:space="preserve">               0713407565</v>
      </c>
      <c r="W33" s="105" t="s">
        <v>1642</v>
      </c>
    </row>
    <row r="34" spans="5:23" x14ac:dyDescent="0.25">
      <c r="E34" s="74" t="s">
        <v>656</v>
      </c>
      <c r="F34" s="77" t="s">
        <v>499</v>
      </c>
      <c r="G34" s="99" t="s">
        <v>500</v>
      </c>
      <c r="H34" s="77"/>
      <c r="I34" s="76" t="s">
        <v>501</v>
      </c>
      <c r="J34" s="77"/>
      <c r="K34" s="83" t="s">
        <v>1524</v>
      </c>
      <c r="L34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34" s="89" t="s">
        <v>656</v>
      </c>
      <c r="N34" s="87" t="str">
        <f t="shared" si="1"/>
        <v>0000000000033</v>
      </c>
      <c r="O34" s="88">
        <f t="shared" si="2"/>
        <v>13</v>
      </c>
      <c r="P34" s="88" t="str">
        <f t="shared" si="3"/>
        <v>0000000033</v>
      </c>
      <c r="Q34" s="88" t="s">
        <v>1163</v>
      </c>
      <c r="R34" s="92" t="str">
        <f t="shared" ref="R34:R65" si="10">_xlfn.CONCAT(F34,L34)</f>
        <v xml:space="preserve">Варлянский Валерий                                                                                                                                                                                    </v>
      </c>
      <c r="S34" s="92" t="str">
        <f t="shared" si="5"/>
        <v xml:space="preserve">Варлянский Валерий                                                                                                                                                                  </v>
      </c>
      <c r="T34" s="92" t="s">
        <v>1564</v>
      </c>
      <c r="U34" s="104" t="str">
        <f t="shared" si="8"/>
        <v xml:space="preserve">                                                                                                                                                                                    0713664072</v>
      </c>
      <c r="V34" s="104" t="str">
        <f t="shared" si="9"/>
        <v xml:space="preserve">               0713664072</v>
      </c>
      <c r="W34" s="105" t="s">
        <v>1643</v>
      </c>
    </row>
    <row r="35" spans="5:23" x14ac:dyDescent="0.25">
      <c r="E35" s="74" t="s">
        <v>657</v>
      </c>
      <c r="F35" s="77" t="s">
        <v>502</v>
      </c>
      <c r="G35" s="99" t="s">
        <v>503</v>
      </c>
      <c r="H35" s="77"/>
      <c r="I35" s="76" t="s">
        <v>504</v>
      </c>
      <c r="J35" s="77"/>
      <c r="K35" s="83" t="s">
        <v>1524</v>
      </c>
      <c r="L35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35" s="89" t="s">
        <v>657</v>
      </c>
      <c r="N35" s="87" t="str">
        <f t="shared" si="1"/>
        <v>0000000000034</v>
      </c>
      <c r="O35" s="88">
        <f t="shared" si="2"/>
        <v>13</v>
      </c>
      <c r="P35" s="88" t="str">
        <f t="shared" si="3"/>
        <v>0000000034</v>
      </c>
      <c r="Q35" s="88" t="s">
        <v>1164</v>
      </c>
      <c r="R35" s="92" t="str">
        <f t="shared" si="10"/>
        <v xml:space="preserve">ФЛП Кислякова-Осипенко                                                                                                                                                                                    </v>
      </c>
      <c r="S35" s="92" t="str">
        <f t="shared" si="5"/>
        <v xml:space="preserve">ФЛП Кислякова-Осипенко                                                                                                                                                              </v>
      </c>
      <c r="T35" s="92" t="s">
        <v>1565</v>
      </c>
      <c r="U35" s="104" t="str">
        <f t="shared" si="8"/>
        <v xml:space="preserve">                                                                                                                                                                                    0713397760</v>
      </c>
      <c r="V35" s="104" t="str">
        <f t="shared" si="9"/>
        <v xml:space="preserve">               0713397760</v>
      </c>
      <c r="W35" s="105" t="s">
        <v>1644</v>
      </c>
    </row>
    <row r="36" spans="5:23" x14ac:dyDescent="0.25">
      <c r="E36" s="74" t="s">
        <v>658</v>
      </c>
      <c r="F36" s="77" t="s">
        <v>505</v>
      </c>
      <c r="G36" s="99" t="s">
        <v>506</v>
      </c>
      <c r="H36" s="77"/>
      <c r="I36" s="76" t="s">
        <v>507</v>
      </c>
      <c r="J36" s="77"/>
      <c r="K36" s="83" t="s">
        <v>1524</v>
      </c>
      <c r="L36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36" s="89" t="s">
        <v>658</v>
      </c>
      <c r="N36" s="87" t="str">
        <f t="shared" si="1"/>
        <v>0000000000035</v>
      </c>
      <c r="O36" s="88">
        <f t="shared" si="2"/>
        <v>13</v>
      </c>
      <c r="P36" s="88" t="str">
        <f t="shared" si="3"/>
        <v>0000000035</v>
      </c>
      <c r="Q36" s="88" t="s">
        <v>1165</v>
      </c>
      <c r="R36" s="92" t="str">
        <f t="shared" si="10"/>
        <v xml:space="preserve">Юля Тан                                                                                                                                                                                    </v>
      </c>
      <c r="S36" s="92" t="str">
        <f t="shared" si="5"/>
        <v xml:space="preserve">Юля Тан                                                                                                                                                                             </v>
      </c>
      <c r="T36" s="92" t="s">
        <v>1566</v>
      </c>
      <c r="U36" s="104" t="str">
        <f t="shared" si="8"/>
        <v xml:space="preserve">                                                                                                                                                                                    071</v>
      </c>
      <c r="V36" s="104" t="str">
        <f t="shared" si="9"/>
        <v xml:space="preserve">                      071</v>
      </c>
      <c r="W36" s="105" t="s">
        <v>1645</v>
      </c>
    </row>
    <row r="37" spans="5:23" x14ac:dyDescent="0.25">
      <c r="E37" s="74" t="s">
        <v>659</v>
      </c>
      <c r="F37" s="77" t="s">
        <v>508</v>
      </c>
      <c r="G37" s="99" t="s">
        <v>509</v>
      </c>
      <c r="H37" s="77"/>
      <c r="I37" s="76" t="s">
        <v>510</v>
      </c>
      <c r="J37" s="77"/>
      <c r="K37" s="83" t="s">
        <v>1524</v>
      </c>
      <c r="L37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37" s="89" t="s">
        <v>659</v>
      </c>
      <c r="N37" s="87" t="str">
        <f t="shared" si="1"/>
        <v>0000000000036</v>
      </c>
      <c r="O37" s="88">
        <f t="shared" si="2"/>
        <v>13</v>
      </c>
      <c r="P37" s="88" t="str">
        <f t="shared" si="3"/>
        <v>0000000036</v>
      </c>
      <c r="Q37" s="88" t="s">
        <v>1166</v>
      </c>
      <c r="R37" s="92" t="str">
        <f t="shared" si="10"/>
        <v xml:space="preserve">ФЛП Черевайко Андрей Николаевич                                                                                                                                                                                    </v>
      </c>
      <c r="S37" s="92" t="str">
        <f t="shared" si="5"/>
        <v xml:space="preserve">ФЛП Черевайко Андрей Николаевич                                                                                                                                                     </v>
      </c>
      <c r="T37" s="92" t="s">
        <v>1567</v>
      </c>
      <c r="U37" s="104" t="str">
        <f t="shared" si="8"/>
        <v xml:space="preserve">                                                                                                                                                                                    0713190950</v>
      </c>
      <c r="V37" s="104" t="str">
        <f t="shared" si="9"/>
        <v xml:space="preserve">               0713190950</v>
      </c>
      <c r="W37" s="105" t="s">
        <v>1646</v>
      </c>
    </row>
    <row r="38" spans="5:23" x14ac:dyDescent="0.25">
      <c r="E38" s="74" t="s">
        <v>660</v>
      </c>
      <c r="F38" s="77" t="s">
        <v>511</v>
      </c>
      <c r="G38" s="99" t="s">
        <v>512</v>
      </c>
      <c r="H38" s="77"/>
      <c r="I38" s="76" t="s">
        <v>513</v>
      </c>
      <c r="J38" s="77"/>
      <c r="K38" s="83" t="s">
        <v>1524</v>
      </c>
      <c r="L38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38" s="89" t="s">
        <v>660</v>
      </c>
      <c r="N38" s="87" t="str">
        <f t="shared" si="1"/>
        <v>0000000000037</v>
      </c>
      <c r="O38" s="88">
        <f t="shared" si="2"/>
        <v>13</v>
      </c>
      <c r="P38" s="88" t="str">
        <f t="shared" si="3"/>
        <v>0000000037</v>
      </c>
      <c r="Q38" s="88" t="s">
        <v>1167</v>
      </c>
      <c r="R38" s="92" t="str">
        <f t="shared" si="10"/>
        <v xml:space="preserve">Еременко Дима                                                                                                                                                                                    </v>
      </c>
      <c r="S38" s="92" t="str">
        <f t="shared" si="5"/>
        <v xml:space="preserve">Еременко Дима                                                                                                                                                                       </v>
      </c>
      <c r="T38" s="92" t="s">
        <v>1568</v>
      </c>
      <c r="U38" s="104" t="str">
        <f t="shared" si="8"/>
        <v xml:space="preserve">                                                                                                                                                                                    0714671087</v>
      </c>
      <c r="V38" s="104" t="str">
        <f t="shared" si="9"/>
        <v xml:space="preserve">               0714671087</v>
      </c>
      <c r="W38" s="105" t="s">
        <v>1647</v>
      </c>
    </row>
    <row r="39" spans="5:23" x14ac:dyDescent="0.25">
      <c r="E39" s="74" t="s">
        <v>661</v>
      </c>
      <c r="F39" s="77" t="s">
        <v>514</v>
      </c>
      <c r="G39" s="99" t="s">
        <v>515</v>
      </c>
      <c r="H39" s="77"/>
      <c r="I39" s="76" t="s">
        <v>516</v>
      </c>
      <c r="J39" s="77"/>
      <c r="K39" s="83" t="s">
        <v>1524</v>
      </c>
      <c r="L39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39" s="89" t="s">
        <v>661</v>
      </c>
      <c r="N39" s="87" t="str">
        <f t="shared" si="1"/>
        <v>0000000000038</v>
      </c>
      <c r="O39" s="88">
        <f t="shared" si="2"/>
        <v>13</v>
      </c>
      <c r="P39" s="88" t="str">
        <f t="shared" si="3"/>
        <v>0000000038</v>
      </c>
      <c r="Q39" s="88" t="s">
        <v>1168</v>
      </c>
      <c r="R39" s="92" t="str">
        <f t="shared" si="10"/>
        <v xml:space="preserve">ФЛП Барбатун Вадим Олегович                                                                                                                                                                                    </v>
      </c>
      <c r="S39" s="92" t="str">
        <f t="shared" si="5"/>
        <v xml:space="preserve">ФЛП Барбатун Вадим Олегович                                                                                                                                                         </v>
      </c>
      <c r="T39" s="92" t="s">
        <v>1569</v>
      </c>
      <c r="U39" s="104" t="str">
        <f t="shared" si="8"/>
        <v xml:space="preserve">                                                                                                                                                                                    0714751449</v>
      </c>
      <c r="V39" s="104" t="str">
        <f t="shared" si="9"/>
        <v xml:space="preserve">               0714751449</v>
      </c>
      <c r="W39" s="105" t="s">
        <v>1648</v>
      </c>
    </row>
    <row r="40" spans="5:23" x14ac:dyDescent="0.25">
      <c r="E40" s="74" t="s">
        <v>662</v>
      </c>
      <c r="F40" s="77" t="s">
        <v>517</v>
      </c>
      <c r="G40" s="99"/>
      <c r="H40" s="77"/>
      <c r="I40" s="76" t="s">
        <v>518</v>
      </c>
      <c r="J40" s="77"/>
      <c r="K40" s="83" t="s">
        <v>1524</v>
      </c>
      <c r="L40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40" s="89" t="s">
        <v>662</v>
      </c>
      <c r="N40" s="87" t="str">
        <f t="shared" si="1"/>
        <v>0000000000039</v>
      </c>
      <c r="O40" s="88">
        <f t="shared" si="2"/>
        <v>13</v>
      </c>
      <c r="P40" s="88" t="str">
        <f t="shared" si="3"/>
        <v>0000000039</v>
      </c>
      <c r="Q40" s="88" t="s">
        <v>1169</v>
      </c>
      <c r="R40" s="92" t="str">
        <f t="shared" si="10"/>
        <v xml:space="preserve">Женя Полиграф                                                                                                                                                                                    </v>
      </c>
      <c r="S40" s="92" t="str">
        <f t="shared" si="5"/>
        <v xml:space="preserve">Женя Полиграф                                                                                                                                                                       </v>
      </c>
      <c r="T40" s="92" t="s">
        <v>1570</v>
      </c>
      <c r="U40" s="104" t="str">
        <f t="shared" si="8"/>
        <v xml:space="preserve">                                                                                                                                                                                    </v>
      </c>
      <c r="V40" s="104" t="str">
        <f t="shared" si="9"/>
        <v xml:space="preserve">                         </v>
      </c>
      <c r="W40" s="105" t="s">
        <v>1618</v>
      </c>
    </row>
    <row r="41" spans="5:23" x14ac:dyDescent="0.25">
      <c r="E41" s="74" t="s">
        <v>663</v>
      </c>
      <c r="F41" s="77" t="s">
        <v>519</v>
      </c>
      <c r="G41" s="99" t="s">
        <v>520</v>
      </c>
      <c r="H41" s="77"/>
      <c r="I41" s="76" t="s">
        <v>521</v>
      </c>
      <c r="J41" s="77"/>
      <c r="K41" s="83" t="s">
        <v>1524</v>
      </c>
      <c r="L41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41" s="89" t="s">
        <v>663</v>
      </c>
      <c r="N41" s="87" t="str">
        <f t="shared" si="1"/>
        <v>0000000000040</v>
      </c>
      <c r="O41" s="88">
        <f t="shared" si="2"/>
        <v>13</v>
      </c>
      <c r="P41" s="88" t="str">
        <f t="shared" si="3"/>
        <v>0000000040</v>
      </c>
      <c r="Q41" s="88" t="s">
        <v>1170</v>
      </c>
      <c r="R41" s="92" t="str">
        <f t="shared" si="10"/>
        <v xml:space="preserve">Самосват Александр                                                                                                                                                                                    </v>
      </c>
      <c r="S41" s="92" t="str">
        <f t="shared" si="5"/>
        <v xml:space="preserve">Самосват Александр                                                                                                                                                                  </v>
      </c>
      <c r="T41" s="92" t="s">
        <v>1571</v>
      </c>
      <c r="U41" s="104" t="str">
        <f t="shared" si="8"/>
        <v xml:space="preserve">                                                                                                                                                                                    0713338658</v>
      </c>
      <c r="V41" s="104" t="str">
        <f t="shared" si="9"/>
        <v xml:space="preserve">               0713338658</v>
      </c>
      <c r="W41" s="105" t="s">
        <v>1649</v>
      </c>
    </row>
    <row r="42" spans="5:23" x14ac:dyDescent="0.25">
      <c r="E42" s="74" t="s">
        <v>664</v>
      </c>
      <c r="F42" s="77" t="s">
        <v>522</v>
      </c>
      <c r="G42" s="99" t="s">
        <v>523</v>
      </c>
      <c r="H42" s="77"/>
      <c r="I42" s="76" t="s">
        <v>524</v>
      </c>
      <c r="J42" s="77"/>
      <c r="K42" s="83" t="s">
        <v>1524</v>
      </c>
      <c r="L42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42" s="89" t="s">
        <v>664</v>
      </c>
      <c r="N42" s="87" t="str">
        <f t="shared" si="1"/>
        <v>0000000000041</v>
      </c>
      <c r="O42" s="88">
        <f t="shared" si="2"/>
        <v>13</v>
      </c>
      <c r="P42" s="88" t="str">
        <f t="shared" si="3"/>
        <v>0000000041</v>
      </c>
      <c r="Q42" s="88" t="s">
        <v>1171</v>
      </c>
      <c r="R42" s="92" t="str">
        <f t="shared" si="10"/>
        <v xml:space="preserve">Яковленко Наталья                                                                                                                                                                                    </v>
      </c>
      <c r="S42" s="92" t="str">
        <f t="shared" si="5"/>
        <v xml:space="preserve">Яковленко Наталья                                                                                                                                                                   </v>
      </c>
      <c r="T42" s="92" t="s">
        <v>1572</v>
      </c>
      <c r="U42" s="104" t="str">
        <f t="shared" si="8"/>
        <v xml:space="preserve">                                                                                                                                                                                    0713338659</v>
      </c>
      <c r="V42" s="104" t="str">
        <f t="shared" si="9"/>
        <v xml:space="preserve">               0713338659</v>
      </c>
      <c r="W42" s="105" t="s">
        <v>1650</v>
      </c>
    </row>
    <row r="43" spans="5:23" x14ac:dyDescent="0.25">
      <c r="E43" s="74" t="s">
        <v>665</v>
      </c>
      <c r="F43" s="77" t="s">
        <v>525</v>
      </c>
      <c r="G43" s="99" t="s">
        <v>526</v>
      </c>
      <c r="H43" s="77"/>
      <c r="I43" s="76" t="s">
        <v>527</v>
      </c>
      <c r="J43" s="77"/>
      <c r="K43" s="83" t="s">
        <v>1524</v>
      </c>
      <c r="L43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43" s="89" t="s">
        <v>665</v>
      </c>
      <c r="N43" s="87" t="str">
        <f t="shared" si="1"/>
        <v>0000000000042</v>
      </c>
      <c r="O43" s="88">
        <f t="shared" si="2"/>
        <v>13</v>
      </c>
      <c r="P43" s="88" t="str">
        <f t="shared" si="3"/>
        <v>0000000042</v>
      </c>
      <c r="Q43" s="88" t="s">
        <v>1172</v>
      </c>
      <c r="R43" s="92" t="str">
        <f t="shared" si="10"/>
        <v xml:space="preserve">Шевченко Саша                                                                                                                                                                                    </v>
      </c>
      <c r="S43" s="92" t="str">
        <f t="shared" si="5"/>
        <v xml:space="preserve">Шевченко Саша                                                                                                                                                                       </v>
      </c>
      <c r="T43" s="92" t="s">
        <v>1573</v>
      </c>
      <c r="U43" s="104" t="str">
        <f t="shared" si="8"/>
        <v xml:space="preserve">                                                                                                                                                                                    0713306227</v>
      </c>
      <c r="V43" s="104" t="str">
        <f t="shared" si="9"/>
        <v xml:space="preserve">               0713306227</v>
      </c>
      <c r="W43" s="105" t="s">
        <v>1651</v>
      </c>
    </row>
    <row r="44" spans="5:23" x14ac:dyDescent="0.25">
      <c r="E44" s="74" t="s">
        <v>666</v>
      </c>
      <c r="F44" s="77" t="s">
        <v>528</v>
      </c>
      <c r="G44" s="99" t="s">
        <v>529</v>
      </c>
      <c r="H44" s="77"/>
      <c r="I44" s="76" t="s">
        <v>530</v>
      </c>
      <c r="J44" s="77"/>
      <c r="K44" s="83" t="s">
        <v>1524</v>
      </c>
      <c r="L44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44" s="89" t="s">
        <v>666</v>
      </c>
      <c r="N44" s="87" t="str">
        <f t="shared" si="1"/>
        <v>0000000000043</v>
      </c>
      <c r="O44" s="88">
        <f t="shared" si="2"/>
        <v>13</v>
      </c>
      <c r="P44" s="88" t="str">
        <f t="shared" si="3"/>
        <v>0000000043</v>
      </c>
      <c r="Q44" s="88" t="s">
        <v>1173</v>
      </c>
      <c r="R44" s="92" t="str">
        <f t="shared" si="10"/>
        <v xml:space="preserve">Топорков Артем Торез                                                                                                                                                                                    </v>
      </c>
      <c r="S44" s="92" t="str">
        <f t="shared" si="5"/>
        <v xml:space="preserve">Топорков Артем Торез                                                                                                                                                                </v>
      </c>
      <c r="T44" s="92" t="s">
        <v>1574</v>
      </c>
      <c r="U44" s="104" t="str">
        <f t="shared" si="8"/>
        <v xml:space="preserve">                                                                                                                                                                                    0713726509</v>
      </c>
      <c r="V44" s="104" t="str">
        <f t="shared" si="9"/>
        <v xml:space="preserve">               0713726509</v>
      </c>
      <c r="W44" s="105" t="s">
        <v>1652</v>
      </c>
    </row>
    <row r="45" spans="5:23" x14ac:dyDescent="0.25">
      <c r="E45" s="74" t="s">
        <v>667</v>
      </c>
      <c r="F45" s="77" t="s">
        <v>531</v>
      </c>
      <c r="G45" s="99" t="s">
        <v>532</v>
      </c>
      <c r="H45" s="77"/>
      <c r="I45" s="76" t="s">
        <v>533</v>
      </c>
      <c r="J45" s="77"/>
      <c r="K45" s="83" t="s">
        <v>1524</v>
      </c>
      <c r="L45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45" s="89" t="s">
        <v>667</v>
      </c>
      <c r="N45" s="87" t="str">
        <f t="shared" si="1"/>
        <v>0000000000044</v>
      </c>
      <c r="O45" s="88">
        <f t="shared" si="2"/>
        <v>13</v>
      </c>
      <c r="P45" s="88" t="str">
        <f t="shared" si="3"/>
        <v>0000000044</v>
      </c>
      <c r="Q45" s="88" t="s">
        <v>1174</v>
      </c>
      <c r="R45" s="92" t="str">
        <f t="shared" si="10"/>
        <v xml:space="preserve">Тимошевский Виталий                                                                                                                                                                                    </v>
      </c>
      <c r="S45" s="92" t="str">
        <f t="shared" si="5"/>
        <v xml:space="preserve">Тимошевский Виталий                                                                                                                                                                 </v>
      </c>
      <c r="T45" s="92" t="s">
        <v>1575</v>
      </c>
      <c r="U45" s="104" t="str">
        <f t="shared" si="8"/>
        <v xml:space="preserve">                                                                                                                                                                                    0713771819</v>
      </c>
      <c r="V45" s="104" t="str">
        <f t="shared" si="9"/>
        <v xml:space="preserve">               0713771819</v>
      </c>
      <c r="W45" s="105" t="s">
        <v>1653</v>
      </c>
    </row>
    <row r="46" spans="5:23" x14ac:dyDescent="0.25">
      <c r="E46" s="74" t="s">
        <v>668</v>
      </c>
      <c r="F46" s="77" t="s">
        <v>534</v>
      </c>
      <c r="G46" s="99" t="s">
        <v>535</v>
      </c>
      <c r="H46" s="77"/>
      <c r="I46" s="76" t="s">
        <v>410</v>
      </c>
      <c r="J46" s="77"/>
      <c r="K46" s="83" t="s">
        <v>1524</v>
      </c>
      <c r="L46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46" s="89" t="s">
        <v>668</v>
      </c>
      <c r="N46" s="87" t="str">
        <f t="shared" si="1"/>
        <v>0000000000045</v>
      </c>
      <c r="O46" s="88">
        <f t="shared" si="2"/>
        <v>13</v>
      </c>
      <c r="P46" s="88" t="str">
        <f t="shared" si="3"/>
        <v>0000000045</v>
      </c>
      <c r="Q46" s="88" t="s">
        <v>1175</v>
      </c>
      <c r="R46" s="92" t="str">
        <f t="shared" si="10"/>
        <v xml:space="preserve">ФЛП Павлюк Александр                                                                                                                                                                                    </v>
      </c>
      <c r="S46" s="92" t="str">
        <f t="shared" si="5"/>
        <v xml:space="preserve">ФЛП Павлюк Александр                                                                                                                                                                </v>
      </c>
      <c r="T46" s="92" t="s">
        <v>1576</v>
      </c>
      <c r="U46" s="104" t="str">
        <f t="shared" si="8"/>
        <v xml:space="preserve">                                                                                                                                                                                    0714158409</v>
      </c>
      <c r="V46" s="104" t="str">
        <f t="shared" si="9"/>
        <v xml:space="preserve">               0714158409</v>
      </c>
      <c r="W46" s="105" t="s">
        <v>1654</v>
      </c>
    </row>
    <row r="47" spans="5:23" x14ac:dyDescent="0.25">
      <c r="E47" s="74" t="s">
        <v>669</v>
      </c>
      <c r="F47" s="77" t="s">
        <v>468</v>
      </c>
      <c r="G47" s="99" t="s">
        <v>536</v>
      </c>
      <c r="H47" s="77"/>
      <c r="I47" s="76" t="s">
        <v>537</v>
      </c>
      <c r="J47" s="77"/>
      <c r="K47" s="83" t="s">
        <v>1524</v>
      </c>
      <c r="L47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47" s="89" t="s">
        <v>669</v>
      </c>
      <c r="N47" s="87" t="str">
        <f t="shared" si="1"/>
        <v>0000000000046</v>
      </c>
      <c r="O47" s="88">
        <f t="shared" si="2"/>
        <v>13</v>
      </c>
      <c r="P47" s="88" t="str">
        <f t="shared" si="3"/>
        <v>0000000046</v>
      </c>
      <c r="Q47" s="88" t="s">
        <v>1176</v>
      </c>
      <c r="R47" s="92" t="str">
        <f t="shared" si="10"/>
        <v xml:space="preserve">ФЛП Барановский Александр                                                                                                                                                                                    </v>
      </c>
      <c r="S47" s="92" t="str">
        <f t="shared" si="5"/>
        <v xml:space="preserve">ФЛП Барановский Александр                                                                                                                                                           </v>
      </c>
      <c r="T47" s="92" t="s">
        <v>1552</v>
      </c>
      <c r="U47" s="104" t="str">
        <f t="shared" si="8"/>
        <v xml:space="preserve">                                                                                                                                                                                    0713843781</v>
      </c>
      <c r="V47" s="104" t="str">
        <f t="shared" si="9"/>
        <v xml:space="preserve">               0713843781</v>
      </c>
      <c r="W47" s="105" t="s">
        <v>1655</v>
      </c>
    </row>
    <row r="48" spans="5:23" x14ac:dyDescent="0.25">
      <c r="E48" s="74" t="s">
        <v>670</v>
      </c>
      <c r="F48" s="77" t="s">
        <v>538</v>
      </c>
      <c r="G48" s="99" t="s">
        <v>539</v>
      </c>
      <c r="H48" s="77"/>
      <c r="I48" s="76" t="s">
        <v>540</v>
      </c>
      <c r="J48" s="77"/>
      <c r="K48" s="83" t="s">
        <v>1524</v>
      </c>
      <c r="L48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48" s="89" t="s">
        <v>670</v>
      </c>
      <c r="N48" s="87" t="str">
        <f t="shared" si="1"/>
        <v>0000000000047</v>
      </c>
      <c r="O48" s="88">
        <f t="shared" si="2"/>
        <v>13</v>
      </c>
      <c r="P48" s="88" t="str">
        <f t="shared" si="3"/>
        <v>0000000047</v>
      </c>
      <c r="Q48" s="88" t="s">
        <v>1177</v>
      </c>
      <c r="R48" s="92" t="str">
        <f t="shared" si="10"/>
        <v xml:space="preserve">Сергей Викторович ООО Селд                                                                                                                                                                                    </v>
      </c>
      <c r="S48" s="92" t="str">
        <f t="shared" si="5"/>
        <v xml:space="preserve">Сергей Викторович ООО Селд                                                                                                                                                          </v>
      </c>
      <c r="T48" s="92" t="s">
        <v>1577</v>
      </c>
      <c r="U48" s="104" t="str">
        <f t="shared" si="8"/>
        <v xml:space="preserve">                                                                                                                                                                                    0713825331</v>
      </c>
      <c r="V48" s="104" t="str">
        <f t="shared" si="9"/>
        <v xml:space="preserve">               0713825331</v>
      </c>
      <c r="W48" s="105" t="s">
        <v>1656</v>
      </c>
    </row>
    <row r="49" spans="5:23" x14ac:dyDescent="0.25">
      <c r="E49" s="74" t="s">
        <v>671</v>
      </c>
      <c r="F49" s="77" t="s">
        <v>541</v>
      </c>
      <c r="G49" s="99" t="s">
        <v>542</v>
      </c>
      <c r="H49" s="77"/>
      <c r="I49" s="76" t="s">
        <v>543</v>
      </c>
      <c r="J49" s="77"/>
      <c r="K49" s="83" t="s">
        <v>1524</v>
      </c>
      <c r="L49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49" s="89" t="s">
        <v>671</v>
      </c>
      <c r="N49" s="87" t="str">
        <f t="shared" si="1"/>
        <v>0000000000048</v>
      </c>
      <c r="O49" s="88">
        <f t="shared" si="2"/>
        <v>13</v>
      </c>
      <c r="P49" s="88" t="str">
        <f t="shared" si="3"/>
        <v>0000000048</v>
      </c>
      <c r="Q49" s="88" t="s">
        <v>1178</v>
      </c>
      <c r="R49" s="92" t="str">
        <f t="shared" si="10"/>
        <v xml:space="preserve">Денис Снежное 0714617355                                                                                                                                                                                    </v>
      </c>
      <c r="S49" s="92" t="str">
        <f t="shared" si="5"/>
        <v xml:space="preserve">Денис Снежное 0714617355                                                                                                                                                            </v>
      </c>
      <c r="T49" s="92" t="s">
        <v>1578</v>
      </c>
      <c r="U49" s="104" t="str">
        <f t="shared" si="8"/>
        <v xml:space="preserve">                                                                                                                                                                                    0714617355</v>
      </c>
      <c r="V49" s="104" t="str">
        <f t="shared" si="9"/>
        <v xml:space="preserve">               0714617355</v>
      </c>
      <c r="W49" s="105" t="s">
        <v>1657</v>
      </c>
    </row>
    <row r="50" spans="5:23" x14ac:dyDescent="0.25">
      <c r="E50" s="74" t="s">
        <v>672</v>
      </c>
      <c r="F50" s="77" t="s">
        <v>544</v>
      </c>
      <c r="G50" s="99" t="s">
        <v>545</v>
      </c>
      <c r="H50" s="77"/>
      <c r="I50" s="76" t="s">
        <v>546</v>
      </c>
      <c r="J50" s="77"/>
      <c r="K50" s="83" t="s">
        <v>1524</v>
      </c>
      <c r="L50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50" s="89" t="s">
        <v>672</v>
      </c>
      <c r="N50" s="87" t="str">
        <f t="shared" si="1"/>
        <v>0000000000049</v>
      </c>
      <c r="O50" s="88">
        <f t="shared" si="2"/>
        <v>13</v>
      </c>
      <c r="P50" s="88" t="str">
        <f t="shared" si="3"/>
        <v>0000000049</v>
      </c>
      <c r="Q50" s="88" t="s">
        <v>1179</v>
      </c>
      <c r="R50" s="92" t="str">
        <f t="shared" si="10"/>
        <v xml:space="preserve">Наташа Ясиноватая бартер                                                                                                                                                                                    </v>
      </c>
      <c r="S50" s="92" t="str">
        <f t="shared" si="5"/>
        <v xml:space="preserve">Наташа Ясиноватая бартер                                                                                                                                                            </v>
      </c>
      <c r="T50" s="92" t="s">
        <v>1579</v>
      </c>
      <c r="U50" s="104" t="str">
        <f t="shared" si="8"/>
        <v xml:space="preserve">                                                                                                                                                                                    0713091445</v>
      </c>
      <c r="V50" s="104" t="str">
        <f t="shared" si="9"/>
        <v xml:space="preserve">               0713091445</v>
      </c>
      <c r="W50" s="105" t="s">
        <v>1658</v>
      </c>
    </row>
    <row r="51" spans="5:23" ht="15.75" x14ac:dyDescent="0.3">
      <c r="E51" s="74" t="s">
        <v>673</v>
      </c>
      <c r="F51" s="77" t="s">
        <v>547</v>
      </c>
      <c r="G51" s="99" t="s">
        <v>548</v>
      </c>
      <c r="H51" s="77"/>
      <c r="I51" s="76" t="s">
        <v>549</v>
      </c>
      <c r="J51" s="77"/>
      <c r="K51" s="83" t="s">
        <v>1524</v>
      </c>
      <c r="L51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51" s="89" t="s">
        <v>673</v>
      </c>
      <c r="N51" s="87" t="str">
        <f t="shared" si="1"/>
        <v>0000000000050</v>
      </c>
      <c r="O51" s="88">
        <f t="shared" si="2"/>
        <v>13</v>
      </c>
      <c r="P51" s="88" t="str">
        <f t="shared" si="3"/>
        <v>0000000050</v>
      </c>
      <c r="Q51" s="88" t="s">
        <v>1180</v>
      </c>
      <c r="R51" s="92" t="str">
        <f t="shared" si="10"/>
        <v xml:space="preserve">Игорь Пельмени                                                                                                                                                                                    </v>
      </c>
      <c r="S51" s="92" t="str">
        <f t="shared" si="5"/>
        <v xml:space="preserve">Игорь Пельмени                                                                                                                                                                      </v>
      </c>
      <c r="T51" s="92" t="s">
        <v>1580</v>
      </c>
      <c r="U51" s="104" t="str">
        <f t="shared" si="8"/>
        <v xml:space="preserve">                                                                                                                                                                                    0713592605</v>
      </c>
      <c r="V51" s="104" t="str">
        <f t="shared" si="9"/>
        <v xml:space="preserve">               0713592605</v>
      </c>
      <c r="W51" s="105" t="s">
        <v>1659</v>
      </c>
    </row>
    <row r="52" spans="5:23" x14ac:dyDescent="0.25">
      <c r="E52" s="74" t="s">
        <v>674</v>
      </c>
      <c r="F52" s="77" t="s">
        <v>550</v>
      </c>
      <c r="G52" s="99" t="s">
        <v>551</v>
      </c>
      <c r="H52" s="77"/>
      <c r="I52" s="76" t="s">
        <v>552</v>
      </c>
      <c r="J52" s="77"/>
      <c r="K52" s="83" t="s">
        <v>1524</v>
      </c>
      <c r="L52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52" s="89" t="s">
        <v>674</v>
      </c>
      <c r="N52" s="87" t="str">
        <f t="shared" si="1"/>
        <v>0000000000051</v>
      </c>
      <c r="O52" s="88">
        <f t="shared" si="2"/>
        <v>13</v>
      </c>
      <c r="P52" s="88" t="str">
        <f t="shared" si="3"/>
        <v>0000000051</v>
      </c>
      <c r="Q52" s="88" t="s">
        <v>1181</v>
      </c>
      <c r="R52" s="92" t="str">
        <f t="shared" si="10"/>
        <v xml:space="preserve">Торговый Университет Владимир                                                                                                                                                                                    </v>
      </c>
      <c r="S52" s="92" t="str">
        <f t="shared" si="5"/>
        <v xml:space="preserve">Торговый Университет Владимир                                                                                                                                                       </v>
      </c>
      <c r="T52" s="92" t="s">
        <v>1581</v>
      </c>
      <c r="U52" s="104" t="str">
        <f t="shared" si="8"/>
        <v xml:space="preserve">                                                                                                                                                                                    0713653269</v>
      </c>
      <c r="V52" s="104" t="str">
        <f t="shared" si="9"/>
        <v xml:space="preserve">               0713653269</v>
      </c>
      <c r="W52" s="105" t="s">
        <v>1660</v>
      </c>
    </row>
    <row r="53" spans="5:23" x14ac:dyDescent="0.25">
      <c r="E53" s="74" t="s">
        <v>675</v>
      </c>
      <c r="F53" s="77" t="s">
        <v>553</v>
      </c>
      <c r="G53" s="99" t="s">
        <v>451</v>
      </c>
      <c r="H53" s="77"/>
      <c r="I53" s="76" t="s">
        <v>554</v>
      </c>
      <c r="J53" s="77"/>
      <c r="K53" s="83" t="s">
        <v>1524</v>
      </c>
      <c r="L53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53" s="89" t="s">
        <v>675</v>
      </c>
      <c r="N53" s="87" t="str">
        <f t="shared" si="1"/>
        <v>0000000000052</v>
      </c>
      <c r="O53" s="88">
        <f t="shared" si="2"/>
        <v>13</v>
      </c>
      <c r="P53" s="88" t="str">
        <f t="shared" si="3"/>
        <v>0000000052</v>
      </c>
      <c r="Q53" s="88" t="s">
        <v>1182</v>
      </c>
      <c r="R53" s="92" t="str">
        <f t="shared" si="10"/>
        <v xml:space="preserve">Артебякина Светлана                                                                                                                                                                                    </v>
      </c>
      <c r="S53" s="92" t="str">
        <f t="shared" si="5"/>
        <v xml:space="preserve">Артебякина Светлана                                                                                                                                                                 </v>
      </c>
      <c r="T53" s="92" t="s">
        <v>1582</v>
      </c>
      <c r="U53" s="104" t="str">
        <f t="shared" si="8"/>
        <v xml:space="preserve">                                                                                                                                                                                    0713215803</v>
      </c>
      <c r="V53" s="104" t="str">
        <f t="shared" si="9"/>
        <v xml:space="preserve">               0713215803</v>
      </c>
      <c r="W53" s="105" t="s">
        <v>1630</v>
      </c>
    </row>
    <row r="54" spans="5:23" x14ac:dyDescent="0.25">
      <c r="E54" s="74" t="s">
        <v>676</v>
      </c>
      <c r="F54" s="77" t="s">
        <v>555</v>
      </c>
      <c r="G54" s="99" t="s">
        <v>556</v>
      </c>
      <c r="H54" s="77"/>
      <c r="I54" s="76" t="s">
        <v>557</v>
      </c>
      <c r="J54" s="77"/>
      <c r="K54" s="83" t="s">
        <v>1524</v>
      </c>
      <c r="L54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54" s="89" t="s">
        <v>676</v>
      </c>
      <c r="N54" s="87" t="str">
        <f t="shared" si="1"/>
        <v>0000000000053</v>
      </c>
      <c r="O54" s="88">
        <f t="shared" si="2"/>
        <v>13</v>
      </c>
      <c r="P54" s="88" t="str">
        <f t="shared" si="3"/>
        <v>0000000053</v>
      </c>
      <c r="Q54" s="88" t="s">
        <v>1183</v>
      </c>
      <c r="R54" s="92" t="str">
        <f t="shared" si="10"/>
        <v xml:space="preserve">Ганиев Ринат Горловка (Самоклейка)                                                                                                                                                                                    </v>
      </c>
      <c r="S54" s="92" t="str">
        <f t="shared" si="5"/>
        <v xml:space="preserve">Ганиев Ринат Горловка (Самоклейка)                                                                                                                                                  </v>
      </c>
      <c r="T54" s="92" t="s">
        <v>1583</v>
      </c>
      <c r="U54" s="104" t="str">
        <f t="shared" si="8"/>
        <v xml:space="preserve">                                                                                                                                                                                    0713881856</v>
      </c>
      <c r="V54" s="104" t="str">
        <f t="shared" si="9"/>
        <v xml:space="preserve">               0713881856</v>
      </c>
      <c r="W54" s="105" t="s">
        <v>1661</v>
      </c>
    </row>
    <row r="55" spans="5:23" x14ac:dyDescent="0.25">
      <c r="E55" s="74" t="s">
        <v>677</v>
      </c>
      <c r="F55" s="77" t="s">
        <v>558</v>
      </c>
      <c r="G55" s="99" t="s">
        <v>559</v>
      </c>
      <c r="H55" s="77"/>
      <c r="I55" s="76" t="s">
        <v>560</v>
      </c>
      <c r="J55" s="77"/>
      <c r="K55" s="83" t="s">
        <v>1524</v>
      </c>
      <c r="L55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55" s="89" t="s">
        <v>677</v>
      </c>
      <c r="N55" s="87" t="str">
        <f t="shared" si="1"/>
        <v>0000000000054</v>
      </c>
      <c r="O55" s="88">
        <f t="shared" si="2"/>
        <v>13</v>
      </c>
      <c r="P55" s="88" t="str">
        <f t="shared" si="3"/>
        <v>0000000054</v>
      </c>
      <c r="Q55" s="88" t="s">
        <v>1184</v>
      </c>
      <c r="R55" s="92" t="str">
        <f t="shared" si="10"/>
        <v xml:space="preserve">Бандана                                                                                                                                                                                    </v>
      </c>
      <c r="S55" s="92" t="str">
        <f t="shared" si="5"/>
        <v xml:space="preserve">Бандана                                                                                                                                                                             </v>
      </c>
      <c r="T55" s="92" t="s">
        <v>1584</v>
      </c>
      <c r="U55" s="104" t="str">
        <f t="shared" si="8"/>
        <v xml:space="preserve">                                                                                                                                                                                    0713227208</v>
      </c>
      <c r="V55" s="104" t="str">
        <f t="shared" si="9"/>
        <v xml:space="preserve">               0713227208</v>
      </c>
      <c r="W55" s="105" t="s">
        <v>1662</v>
      </c>
    </row>
    <row r="56" spans="5:23" x14ac:dyDescent="0.25">
      <c r="E56" s="74" t="s">
        <v>678</v>
      </c>
      <c r="F56" s="77" t="s">
        <v>561</v>
      </c>
      <c r="G56" s="99" t="s">
        <v>562</v>
      </c>
      <c r="H56" s="77"/>
      <c r="I56" s="76" t="s">
        <v>560</v>
      </c>
      <c r="J56" s="77"/>
      <c r="K56" s="83" t="s">
        <v>1524</v>
      </c>
      <c r="L56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56" s="89" t="s">
        <v>678</v>
      </c>
      <c r="N56" s="87" t="str">
        <f t="shared" si="1"/>
        <v>0000000000055</v>
      </c>
      <c r="O56" s="88">
        <f t="shared" si="2"/>
        <v>13</v>
      </c>
      <c r="P56" s="88" t="str">
        <f t="shared" si="3"/>
        <v>0000000055</v>
      </c>
      <c r="Q56" s="88" t="s">
        <v>1185</v>
      </c>
      <c r="R56" s="92" t="str">
        <f t="shared" si="10"/>
        <v xml:space="preserve">Игорь Николаевич Мельник Макеевка "Поиск" 0713976819                                                                                                                                                                                    </v>
      </c>
      <c r="S56" s="92" t="str">
        <f t="shared" si="5"/>
        <v xml:space="preserve">Игорь Николаевич Мельник Макеевка "Поиск" 0713976819                                                                                                                                </v>
      </c>
      <c r="T56" s="92" t="s">
        <v>1585</v>
      </c>
      <c r="U56" s="104" t="str">
        <f t="shared" si="8"/>
        <v xml:space="preserve">                                                                                                                                                                                    0714106676</v>
      </c>
      <c r="V56" s="104" t="str">
        <f t="shared" si="9"/>
        <v xml:space="preserve">               0714106676</v>
      </c>
      <c r="W56" s="105" t="s">
        <v>1663</v>
      </c>
    </row>
    <row r="57" spans="5:23" x14ac:dyDescent="0.25">
      <c r="E57" s="74" t="s">
        <v>679</v>
      </c>
      <c r="F57" s="77" t="s">
        <v>563</v>
      </c>
      <c r="G57" s="99" t="s">
        <v>564</v>
      </c>
      <c r="H57" s="77"/>
      <c r="I57" s="76" t="s">
        <v>560</v>
      </c>
      <c r="J57" s="77"/>
      <c r="K57" s="83" t="s">
        <v>1524</v>
      </c>
      <c r="L57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57" s="89" t="s">
        <v>679</v>
      </c>
      <c r="N57" s="87" t="str">
        <f t="shared" si="1"/>
        <v>0000000000056</v>
      </c>
      <c r="O57" s="88">
        <f t="shared" si="2"/>
        <v>13</v>
      </c>
      <c r="P57" s="88" t="str">
        <f t="shared" si="3"/>
        <v>0000000056</v>
      </c>
      <c r="Q57" s="88" t="s">
        <v>1186</v>
      </c>
      <c r="R57" s="92" t="str">
        <f t="shared" si="10"/>
        <v xml:space="preserve">ФЛП Александрова Инесса                                                                                                                                                                                    </v>
      </c>
      <c r="S57" s="92" t="str">
        <f t="shared" si="5"/>
        <v xml:space="preserve">ФЛП Александрова Инесса                                                                                                                                                             </v>
      </c>
      <c r="T57" s="92" t="s">
        <v>1586</v>
      </c>
      <c r="U57" s="104" t="str">
        <f t="shared" si="8"/>
        <v xml:space="preserve">                                                                                                                                                                                    0713763159</v>
      </c>
      <c r="V57" s="104" t="str">
        <f t="shared" si="9"/>
        <v xml:space="preserve">               0713763159</v>
      </c>
      <c r="W57" s="105" t="s">
        <v>1664</v>
      </c>
    </row>
    <row r="58" spans="5:23" x14ac:dyDescent="0.25">
      <c r="E58" s="74" t="s">
        <v>680</v>
      </c>
      <c r="F58" s="77" t="s">
        <v>565</v>
      </c>
      <c r="G58" s="99" t="s">
        <v>506</v>
      </c>
      <c r="H58" s="77"/>
      <c r="I58" s="76" t="s">
        <v>560</v>
      </c>
      <c r="J58" s="77"/>
      <c r="K58" s="83" t="s">
        <v>1524</v>
      </c>
      <c r="L58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58" s="89" t="s">
        <v>680</v>
      </c>
      <c r="N58" s="87" t="str">
        <f t="shared" si="1"/>
        <v>0000000000057</v>
      </c>
      <c r="O58" s="88">
        <f t="shared" si="2"/>
        <v>13</v>
      </c>
      <c r="P58" s="88" t="str">
        <f t="shared" si="3"/>
        <v>0000000057</v>
      </c>
      <c r="Q58" s="88" t="s">
        <v>1187</v>
      </c>
      <c r="R58" s="92" t="str">
        <f t="shared" si="10"/>
        <v xml:space="preserve">ФЛП Сыроквашина Светлана                                                                                                                                                                                    </v>
      </c>
      <c r="S58" s="92" t="str">
        <f t="shared" si="5"/>
        <v xml:space="preserve">ФЛП Сыроквашина Светлана                                                                                                                                                            </v>
      </c>
      <c r="T58" s="92" t="s">
        <v>1587</v>
      </c>
      <c r="U58" s="104" t="str">
        <f t="shared" si="8"/>
        <v xml:space="preserve">                                                                                                                                                                                    071</v>
      </c>
      <c r="V58" s="104" t="str">
        <f t="shared" si="9"/>
        <v xml:space="preserve">                      071</v>
      </c>
      <c r="W58" s="105" t="s">
        <v>1645</v>
      </c>
    </row>
    <row r="59" spans="5:23" x14ac:dyDescent="0.25">
      <c r="E59" s="74" t="s">
        <v>681</v>
      </c>
      <c r="F59" s="77" t="s">
        <v>566</v>
      </c>
      <c r="G59" s="99" t="s">
        <v>567</v>
      </c>
      <c r="H59" s="77"/>
      <c r="I59" s="76" t="s">
        <v>560</v>
      </c>
      <c r="J59" s="77"/>
      <c r="K59" s="83" t="s">
        <v>1524</v>
      </c>
      <c r="L59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59" s="89" t="s">
        <v>681</v>
      </c>
      <c r="N59" s="87" t="str">
        <f t="shared" si="1"/>
        <v>0000000000058</v>
      </c>
      <c r="O59" s="88">
        <f t="shared" si="2"/>
        <v>13</v>
      </c>
      <c r="P59" s="88" t="str">
        <f t="shared" si="3"/>
        <v>0000000058</v>
      </c>
      <c r="Q59" s="88" t="s">
        <v>1188</v>
      </c>
      <c r="R59" s="92" t="str">
        <f t="shared" si="10"/>
        <v xml:space="preserve">Ларичев                                                                                                                                                                                    </v>
      </c>
      <c r="S59" s="92" t="str">
        <f t="shared" si="5"/>
        <v xml:space="preserve">Ларичев                                                                                                                                                                             </v>
      </c>
      <c r="T59" s="92" t="s">
        <v>1588</v>
      </c>
      <c r="U59" s="104" t="str">
        <f t="shared" si="8"/>
        <v xml:space="preserve">                                                                                                                                                                                    0713819271</v>
      </c>
      <c r="V59" s="104" t="str">
        <f t="shared" si="9"/>
        <v xml:space="preserve">               0713819271</v>
      </c>
      <c r="W59" s="105" t="s">
        <v>1665</v>
      </c>
    </row>
    <row r="60" spans="5:23" x14ac:dyDescent="0.25">
      <c r="E60" s="74" t="s">
        <v>682</v>
      </c>
      <c r="F60" s="77" t="s">
        <v>568</v>
      </c>
      <c r="G60" s="99" t="s">
        <v>569</v>
      </c>
      <c r="H60" s="77"/>
      <c r="I60" s="76" t="s">
        <v>560</v>
      </c>
      <c r="J60" s="77"/>
      <c r="K60" s="83" t="s">
        <v>1524</v>
      </c>
      <c r="L60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60" s="89" t="s">
        <v>682</v>
      </c>
      <c r="N60" s="87" t="str">
        <f t="shared" si="1"/>
        <v>0000000000059</v>
      </c>
      <c r="O60" s="88">
        <f t="shared" si="2"/>
        <v>13</v>
      </c>
      <c r="P60" s="88" t="str">
        <f t="shared" si="3"/>
        <v>0000000059</v>
      </c>
      <c r="Q60" s="88" t="s">
        <v>1189</v>
      </c>
      <c r="R60" s="92" t="str">
        <f t="shared" si="10"/>
        <v xml:space="preserve">Мищенко Сергей                                                                                                                                                                                    </v>
      </c>
      <c r="S60" s="92" t="str">
        <f t="shared" si="5"/>
        <v xml:space="preserve">Мищенко Сергей                                                                                                                                                                      </v>
      </c>
      <c r="T60" s="92" t="s">
        <v>1589</v>
      </c>
      <c r="U60" s="104" t="str">
        <f t="shared" si="8"/>
        <v xml:space="preserve">                                                                                                                                                                                    0713229414</v>
      </c>
      <c r="V60" s="104" t="str">
        <f t="shared" si="9"/>
        <v xml:space="preserve">               0713229414</v>
      </c>
      <c r="W60" s="105" t="s">
        <v>1666</v>
      </c>
    </row>
    <row r="61" spans="5:23" x14ac:dyDescent="0.25">
      <c r="E61" s="74" t="s">
        <v>683</v>
      </c>
      <c r="F61" s="77" t="s">
        <v>570</v>
      </c>
      <c r="G61" s="99" t="s">
        <v>571</v>
      </c>
      <c r="H61" s="77"/>
      <c r="I61" s="76"/>
      <c r="J61" s="77"/>
      <c r="K61" s="83" t="s">
        <v>1524</v>
      </c>
      <c r="L61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61" s="89" t="s">
        <v>683</v>
      </c>
      <c r="N61" s="87" t="str">
        <f t="shared" si="1"/>
        <v>0000000000060</v>
      </c>
      <c r="O61" s="88">
        <f t="shared" si="2"/>
        <v>13</v>
      </c>
      <c r="P61" s="88" t="str">
        <f t="shared" si="3"/>
        <v>0000000060</v>
      </c>
      <c r="Q61" s="88" t="s">
        <v>1190</v>
      </c>
      <c r="R61" s="92" t="str">
        <f t="shared" si="10"/>
        <v xml:space="preserve">ФЛП Губанова                                                                                                                                                                                    </v>
      </c>
      <c r="S61" s="92" t="str">
        <f t="shared" si="5"/>
        <v xml:space="preserve">ФЛП Губанова                                                                                                                                                                        </v>
      </c>
      <c r="T61" s="92" t="s">
        <v>1590</v>
      </c>
      <c r="U61" s="104" t="str">
        <f t="shared" si="8"/>
        <v xml:space="preserve">                                                                                                                                                                                    0712391969</v>
      </c>
      <c r="V61" s="104" t="str">
        <f t="shared" si="9"/>
        <v xml:space="preserve">               0712391969</v>
      </c>
      <c r="W61" s="105" t="s">
        <v>1667</v>
      </c>
    </row>
    <row r="62" spans="5:23" x14ac:dyDescent="0.25">
      <c r="E62" s="74" t="s">
        <v>684</v>
      </c>
      <c r="F62" s="77" t="s">
        <v>572</v>
      </c>
      <c r="G62" s="99" t="s">
        <v>445</v>
      </c>
      <c r="H62" s="77"/>
      <c r="I62" s="76"/>
      <c r="J62" s="77"/>
      <c r="K62" s="83" t="s">
        <v>1524</v>
      </c>
      <c r="L62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62" s="89" t="s">
        <v>684</v>
      </c>
      <c r="N62" s="87" t="str">
        <f t="shared" si="1"/>
        <v>0000000000061</v>
      </c>
      <c r="O62" s="88">
        <f t="shared" si="2"/>
        <v>13</v>
      </c>
      <c r="P62" s="88" t="str">
        <f t="shared" si="3"/>
        <v>0000000061</v>
      </c>
      <c r="Q62" s="88" t="s">
        <v>1191</v>
      </c>
      <c r="R62" s="92" t="str">
        <f t="shared" si="10"/>
        <v xml:space="preserve">ФЛП Гарбузов Александр                                                                                                                                                                                    </v>
      </c>
      <c r="S62" s="92" t="str">
        <f t="shared" si="5"/>
        <v xml:space="preserve">ФЛП Гарбузов Александр                                                                                                                                                              </v>
      </c>
      <c r="T62" s="92" t="s">
        <v>1591</v>
      </c>
      <c r="U62" s="104" t="str">
        <f t="shared" si="8"/>
        <v xml:space="preserve">                                                                                                                                                                                    0713224491</v>
      </c>
      <c r="V62" s="104" t="str">
        <f t="shared" si="9"/>
        <v xml:space="preserve">               0713224491</v>
      </c>
      <c r="W62" s="105" t="s">
        <v>1628</v>
      </c>
    </row>
    <row r="63" spans="5:23" x14ac:dyDescent="0.25">
      <c r="E63" s="74" t="s">
        <v>685</v>
      </c>
      <c r="F63" s="77" t="s">
        <v>573</v>
      </c>
      <c r="G63" s="99" t="s">
        <v>574</v>
      </c>
      <c r="H63" s="77"/>
      <c r="I63" s="76"/>
      <c r="J63" s="77"/>
      <c r="K63" s="83" t="s">
        <v>1524</v>
      </c>
      <c r="L63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63" s="89" t="s">
        <v>685</v>
      </c>
      <c r="N63" s="87" t="str">
        <f t="shared" si="1"/>
        <v>0000000000062</v>
      </c>
      <c r="O63" s="88">
        <f t="shared" si="2"/>
        <v>13</v>
      </c>
      <c r="P63" s="88" t="str">
        <f t="shared" si="3"/>
        <v>0000000062</v>
      </c>
      <c r="Q63" s="88" t="s">
        <v>1192</v>
      </c>
      <c r="R63" s="92" t="str">
        <f t="shared" si="10"/>
        <v xml:space="preserve">Енакиево бумага                                                                                                                                                                                    </v>
      </c>
      <c r="S63" s="92" t="str">
        <f t="shared" si="5"/>
        <v xml:space="preserve">Енакиево бумага                                                                                                                                                                     </v>
      </c>
      <c r="T63" s="92" t="s">
        <v>1592</v>
      </c>
      <c r="U63" s="104" t="str">
        <f t="shared" si="8"/>
        <v xml:space="preserve">                                                                                                                                                                                    0713518362</v>
      </c>
      <c r="V63" s="104" t="str">
        <f t="shared" si="9"/>
        <v xml:space="preserve">               0713518362</v>
      </c>
      <c r="W63" s="105" t="s">
        <v>1668</v>
      </c>
    </row>
    <row r="64" spans="5:23" x14ac:dyDescent="0.25">
      <c r="E64" s="74" t="s">
        <v>686</v>
      </c>
      <c r="F64" s="77" t="s">
        <v>575</v>
      </c>
      <c r="G64" s="99" t="s">
        <v>576</v>
      </c>
      <c r="H64" s="77"/>
      <c r="I64" s="76"/>
      <c r="J64" s="77"/>
      <c r="K64" s="83" t="s">
        <v>1524</v>
      </c>
      <c r="L64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64" s="89" t="s">
        <v>686</v>
      </c>
      <c r="N64" s="87" t="str">
        <f t="shared" si="1"/>
        <v>0000000000063</v>
      </c>
      <c r="O64" s="88">
        <f t="shared" si="2"/>
        <v>13</v>
      </c>
      <c r="P64" s="88" t="str">
        <f t="shared" si="3"/>
        <v>0000000063</v>
      </c>
      <c r="Q64" s="88" t="s">
        <v>1193</v>
      </c>
      <c r="R64" s="92" t="str">
        <f t="shared" si="10"/>
        <v xml:space="preserve">Гена Назаркин ( 17 )                                                                                                                                                                                    </v>
      </c>
      <c r="S64" s="92" t="str">
        <f t="shared" si="5"/>
        <v xml:space="preserve">Гена Назаркин ( 17 )                                                                                                                                                                </v>
      </c>
      <c r="T64" s="92" t="s">
        <v>1593</v>
      </c>
      <c r="U64" s="104" t="str">
        <f t="shared" si="8"/>
        <v xml:space="preserve">                                                                                                                                                                                    0713076372</v>
      </c>
      <c r="V64" s="104" t="str">
        <f t="shared" si="9"/>
        <v xml:space="preserve">               0713076372</v>
      </c>
      <c r="W64" s="105" t="s">
        <v>1669</v>
      </c>
    </row>
    <row r="65" spans="5:23" x14ac:dyDescent="0.25">
      <c r="E65" s="74" t="s">
        <v>687</v>
      </c>
      <c r="F65" s="77" t="s">
        <v>577</v>
      </c>
      <c r="G65" s="99" t="s">
        <v>578</v>
      </c>
      <c r="H65" s="77"/>
      <c r="I65" s="76"/>
      <c r="J65" s="77"/>
      <c r="K65" s="83" t="s">
        <v>1524</v>
      </c>
      <c r="L65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65" s="89" t="s">
        <v>687</v>
      </c>
      <c r="N65" s="87" t="str">
        <f t="shared" si="1"/>
        <v>0000000000064</v>
      </c>
      <c r="O65" s="88">
        <f t="shared" si="2"/>
        <v>13</v>
      </c>
      <c r="P65" s="88" t="str">
        <f t="shared" si="3"/>
        <v>0000000064</v>
      </c>
      <c r="Q65" s="88" t="s">
        <v>1194</v>
      </c>
      <c r="R65" s="92" t="str">
        <f t="shared" si="10"/>
        <v xml:space="preserve">ФЛП Буряк                                                                                                                                                                                    </v>
      </c>
      <c r="S65" s="92" t="str">
        <f t="shared" si="5"/>
        <v xml:space="preserve">ФЛП Буряк                                                                                                                                                                           </v>
      </c>
      <c r="T65" s="92" t="s">
        <v>1594</v>
      </c>
      <c r="U65" s="104" t="str">
        <f t="shared" si="8"/>
        <v xml:space="preserve">                                                                                                                                                                                    0713097963</v>
      </c>
      <c r="V65" s="104" t="str">
        <f t="shared" si="9"/>
        <v xml:space="preserve">               0713097963</v>
      </c>
      <c r="W65" s="105" t="s">
        <v>1670</v>
      </c>
    </row>
    <row r="66" spans="5:23" x14ac:dyDescent="0.25">
      <c r="E66" s="74" t="s">
        <v>688</v>
      </c>
      <c r="F66" s="77" t="s">
        <v>579</v>
      </c>
      <c r="G66" s="99" t="s">
        <v>580</v>
      </c>
      <c r="H66" s="77"/>
      <c r="I66" s="76"/>
      <c r="J66" s="77"/>
      <c r="K66" s="83" t="s">
        <v>1524</v>
      </c>
      <c r="L66" s="92" t="str">
        <f t="shared" si="0"/>
        <v xml:space="preserve">                                                                                                                                                                                    </v>
      </c>
      <c r="M66" s="89" t="s">
        <v>688</v>
      </c>
      <c r="N66" s="87" t="str">
        <f t="shared" si="1"/>
        <v>0000000000065</v>
      </c>
      <c r="O66" s="88">
        <f t="shared" si="2"/>
        <v>13</v>
      </c>
      <c r="P66" s="88" t="str">
        <f t="shared" si="3"/>
        <v>0000000065</v>
      </c>
      <c r="Q66" s="88" t="s">
        <v>1195</v>
      </c>
      <c r="R66" s="92" t="str">
        <f t="shared" ref="R66:R86" si="11">_xlfn.CONCAT(F66,L66)</f>
        <v xml:space="preserve">Роман Мачнев                                                                                                                                                                                    </v>
      </c>
      <c r="S66" s="92" t="str">
        <f t="shared" si="5"/>
        <v xml:space="preserve">Роман Мачнев                                                                                                                                                                        </v>
      </c>
      <c r="T66" s="92" t="s">
        <v>1595</v>
      </c>
      <c r="U66" s="104" t="str">
        <f t="shared" si="8"/>
        <v xml:space="preserve">                                                                                                                                                                                    0713483130</v>
      </c>
      <c r="V66" s="104" t="str">
        <f t="shared" si="9"/>
        <v xml:space="preserve">               0713483130</v>
      </c>
      <c r="W66" s="105" t="s">
        <v>1671</v>
      </c>
    </row>
    <row r="67" spans="5:23" x14ac:dyDescent="0.25">
      <c r="E67" s="74" t="s">
        <v>689</v>
      </c>
      <c r="F67" s="77" t="s">
        <v>581</v>
      </c>
      <c r="G67" s="99" t="s">
        <v>582</v>
      </c>
      <c r="H67" s="77"/>
      <c r="I67" s="76"/>
      <c r="J67" s="77"/>
      <c r="K67" s="83" t="s">
        <v>1524</v>
      </c>
      <c r="L67" s="92" t="str">
        <f t="shared" ref="L67:L86" si="12">REPT(" ",180)</f>
        <v xml:space="preserve">                                                                                                                                                                                    </v>
      </c>
      <c r="M67" s="89" t="s">
        <v>689</v>
      </c>
      <c r="N67" s="87" t="str">
        <f t="shared" ref="N67:N86" si="13">_xlfn.CONCAT(K67,M67)</f>
        <v>0000000000066</v>
      </c>
      <c r="O67" s="88">
        <f t="shared" ref="O67:O86" si="14">LEN(N67)</f>
        <v>13</v>
      </c>
      <c r="P67" s="88" t="str">
        <f t="shared" ref="P67:P86" si="15">RIGHT(N67,10)</f>
        <v>0000000066</v>
      </c>
      <c r="Q67" s="88" t="s">
        <v>1196</v>
      </c>
      <c r="R67" s="92" t="str">
        <f t="shared" si="11"/>
        <v xml:space="preserve">Бородин Андрей Владимирович                                                                                                                                                                                    </v>
      </c>
      <c r="S67" s="92" t="str">
        <f t="shared" ref="S67:S86" si="16">LEFT(R67,180)</f>
        <v xml:space="preserve">Бородин Андрей Владимирович                                                                                                                                                         </v>
      </c>
      <c r="T67" s="92" t="s">
        <v>1596</v>
      </c>
      <c r="U67" s="104" t="str">
        <f t="shared" si="8"/>
        <v xml:space="preserve">                                                                                                                                                                                    0713546080</v>
      </c>
      <c r="V67" s="104" t="str">
        <f t="shared" si="9"/>
        <v xml:space="preserve">               0713546080</v>
      </c>
      <c r="W67" s="105" t="s">
        <v>1672</v>
      </c>
    </row>
    <row r="68" spans="5:23" x14ac:dyDescent="0.25">
      <c r="E68" s="74" t="s">
        <v>690</v>
      </c>
      <c r="F68" s="77" t="s">
        <v>583</v>
      </c>
      <c r="G68" s="99" t="s">
        <v>584</v>
      </c>
      <c r="H68" s="77"/>
      <c r="I68" s="76"/>
      <c r="J68" s="77"/>
      <c r="K68" s="83" t="s">
        <v>1524</v>
      </c>
      <c r="L68" s="92" t="str">
        <f t="shared" si="12"/>
        <v xml:space="preserve">                                                                                                                                                                                    </v>
      </c>
      <c r="M68" s="89" t="s">
        <v>690</v>
      </c>
      <c r="N68" s="87" t="str">
        <f t="shared" si="13"/>
        <v>0000000000067</v>
      </c>
      <c r="O68" s="88">
        <f t="shared" si="14"/>
        <v>13</v>
      </c>
      <c r="P68" s="88" t="str">
        <f t="shared" si="15"/>
        <v>0000000067</v>
      </c>
      <c r="Q68" s="88" t="s">
        <v>1197</v>
      </c>
      <c r="R68" s="92" t="str">
        <f t="shared" si="11"/>
        <v xml:space="preserve">Сиданич Вита                                                                                                                                                                                    </v>
      </c>
      <c r="S68" s="92" t="str">
        <f t="shared" si="16"/>
        <v xml:space="preserve">Сиданич Вита                                                                                                                                                                        </v>
      </c>
      <c r="T68" s="92" t="s">
        <v>1597</v>
      </c>
      <c r="U68" s="104" t="str">
        <f t="shared" si="8"/>
        <v xml:space="preserve">                                                                                                                                                                                    0713962728</v>
      </c>
      <c r="V68" s="104" t="str">
        <f t="shared" si="9"/>
        <v xml:space="preserve">               0713962728</v>
      </c>
      <c r="W68" s="105" t="s">
        <v>1673</v>
      </c>
    </row>
    <row r="69" spans="5:23" x14ac:dyDescent="0.25">
      <c r="E69" s="74" t="s">
        <v>691</v>
      </c>
      <c r="F69" s="77" t="s">
        <v>585</v>
      </c>
      <c r="G69" s="99"/>
      <c r="H69" s="77"/>
      <c r="I69" s="76"/>
      <c r="J69" s="77"/>
      <c r="K69" s="83" t="s">
        <v>1524</v>
      </c>
      <c r="L69" s="92" t="str">
        <f t="shared" si="12"/>
        <v xml:space="preserve">                                                                                                                                                                                    </v>
      </c>
      <c r="M69" s="89" t="s">
        <v>691</v>
      </c>
      <c r="N69" s="87" t="str">
        <f t="shared" si="13"/>
        <v>0000000000068</v>
      </c>
      <c r="O69" s="88">
        <f t="shared" si="14"/>
        <v>13</v>
      </c>
      <c r="P69" s="88" t="str">
        <f t="shared" si="15"/>
        <v>0000000068</v>
      </c>
      <c r="Q69" s="88" t="s">
        <v>1198</v>
      </c>
      <c r="R69" s="92" t="str">
        <f t="shared" si="11"/>
        <v xml:space="preserve">ФЛП Арсенина                                                                                                                                                                                    </v>
      </c>
      <c r="S69" s="92" t="str">
        <f t="shared" si="16"/>
        <v xml:space="preserve">ФЛП Арсенина                                                                                                                                                                        </v>
      </c>
      <c r="T69" s="92" t="s">
        <v>1598</v>
      </c>
      <c r="U69" s="104" t="str">
        <f t="shared" si="8"/>
        <v xml:space="preserve">                                                                                                                                                                                    </v>
      </c>
      <c r="V69" s="104" t="str">
        <f t="shared" si="9"/>
        <v xml:space="preserve">                         </v>
      </c>
      <c r="W69" s="105" t="s">
        <v>1618</v>
      </c>
    </row>
    <row r="70" spans="5:23" x14ac:dyDescent="0.25">
      <c r="E70" s="74" t="s">
        <v>692</v>
      </c>
      <c r="F70" s="77" t="s">
        <v>586</v>
      </c>
      <c r="G70" s="99" t="s">
        <v>587</v>
      </c>
      <c r="H70" s="77"/>
      <c r="I70" s="76"/>
      <c r="J70" s="77"/>
      <c r="K70" s="83" t="s">
        <v>1524</v>
      </c>
      <c r="L70" s="92" t="str">
        <f t="shared" si="12"/>
        <v xml:space="preserve">                                                                                                                                                                                    </v>
      </c>
      <c r="M70" s="89" t="s">
        <v>692</v>
      </c>
      <c r="N70" s="87" t="str">
        <f t="shared" si="13"/>
        <v>0000000000069</v>
      </c>
      <c r="O70" s="88">
        <f t="shared" si="14"/>
        <v>13</v>
      </c>
      <c r="P70" s="88" t="str">
        <f t="shared" si="15"/>
        <v>0000000069</v>
      </c>
      <c r="Q70" s="88" t="s">
        <v>1199</v>
      </c>
      <c r="R70" s="92" t="str">
        <f t="shared" si="11"/>
        <v xml:space="preserve">Конорева Ирина г. Ждановка                                                                                                                                                                                    </v>
      </c>
      <c r="S70" s="92" t="str">
        <f t="shared" si="16"/>
        <v xml:space="preserve">Конорева Ирина г. Ждановка                                                                                                                                                          </v>
      </c>
      <c r="T70" s="92" t="s">
        <v>1599</v>
      </c>
      <c r="U70" s="104" t="str">
        <f t="shared" si="8"/>
        <v xml:space="preserve">                                                                                                                                                                                    0713104406</v>
      </c>
      <c r="V70" s="104" t="str">
        <f t="shared" si="9"/>
        <v xml:space="preserve">               0713104406</v>
      </c>
      <c r="W70" s="105" t="s">
        <v>1674</v>
      </c>
    </row>
    <row r="71" spans="5:23" x14ac:dyDescent="0.25">
      <c r="E71" s="74" t="s">
        <v>693</v>
      </c>
      <c r="F71" s="77" t="s">
        <v>588</v>
      </c>
      <c r="G71" s="99" t="s">
        <v>589</v>
      </c>
      <c r="H71" s="77"/>
      <c r="I71" s="76"/>
      <c r="J71" s="77"/>
      <c r="K71" s="83" t="s">
        <v>1524</v>
      </c>
      <c r="L71" s="92" t="str">
        <f t="shared" si="12"/>
        <v xml:space="preserve">                                                                                                                                                                                    </v>
      </c>
      <c r="M71" s="89" t="s">
        <v>693</v>
      </c>
      <c r="N71" s="87" t="str">
        <f t="shared" si="13"/>
        <v>0000000000070</v>
      </c>
      <c r="O71" s="88">
        <f t="shared" si="14"/>
        <v>13</v>
      </c>
      <c r="P71" s="88" t="str">
        <f t="shared" si="15"/>
        <v>0000000070</v>
      </c>
      <c r="Q71" s="88" t="s">
        <v>1200</v>
      </c>
      <c r="R71" s="92" t="str">
        <f t="shared" si="11"/>
        <v xml:space="preserve">Булыга Борис                                                                                                                                                                                    </v>
      </c>
      <c r="S71" s="92" t="str">
        <f t="shared" si="16"/>
        <v xml:space="preserve">Булыга Борис                                                                                                                                                                        </v>
      </c>
      <c r="T71" s="92" t="s">
        <v>1600</v>
      </c>
      <c r="U71" s="104" t="str">
        <f t="shared" si="8"/>
        <v xml:space="preserve">                                                                                                                                                                                    0713131156</v>
      </c>
      <c r="V71" s="104" t="str">
        <f t="shared" si="9"/>
        <v xml:space="preserve">               0713131156</v>
      </c>
      <c r="W71" s="105" t="s">
        <v>1675</v>
      </c>
    </row>
    <row r="72" spans="5:23" x14ac:dyDescent="0.25">
      <c r="E72" s="74" t="s">
        <v>506</v>
      </c>
      <c r="F72" s="77" t="s">
        <v>590</v>
      </c>
      <c r="G72" s="99" t="s">
        <v>591</v>
      </c>
      <c r="H72" s="77"/>
      <c r="I72" s="76"/>
      <c r="J72" s="77"/>
      <c r="K72" s="83" t="s">
        <v>1524</v>
      </c>
      <c r="L72" s="92" t="str">
        <f t="shared" si="12"/>
        <v xml:space="preserve">                                                                                                                                                                                    </v>
      </c>
      <c r="M72" s="89" t="s">
        <v>506</v>
      </c>
      <c r="N72" s="87" t="str">
        <f t="shared" si="13"/>
        <v>0000000000071</v>
      </c>
      <c r="O72" s="88">
        <f t="shared" si="14"/>
        <v>13</v>
      </c>
      <c r="P72" s="88" t="str">
        <f t="shared" si="15"/>
        <v>0000000071</v>
      </c>
      <c r="Q72" s="88" t="s">
        <v>1201</v>
      </c>
      <c r="R72" s="92" t="str">
        <f t="shared" si="11"/>
        <v xml:space="preserve">Качалов Дима                                                                                                                                                                                    </v>
      </c>
      <c r="S72" s="92" t="str">
        <f t="shared" si="16"/>
        <v xml:space="preserve">Качалов Дима                                                                                                                                                                        </v>
      </c>
      <c r="T72" s="92" t="s">
        <v>1601</v>
      </c>
      <c r="U72" s="104" t="str">
        <f t="shared" ref="U72:U86" si="17">_xlfn.CONCAT(L72,G72)</f>
        <v xml:space="preserve">                                                                                                                                                                                    0714822942</v>
      </c>
      <c r="V72" s="104" t="str">
        <f t="shared" ref="V72:V86" si="18">RIGHT(U72,25)</f>
        <v xml:space="preserve">               0714822942</v>
      </c>
      <c r="W72" s="105" t="s">
        <v>1676</v>
      </c>
    </row>
    <row r="73" spans="5:23" x14ac:dyDescent="0.25">
      <c r="E73" s="74" t="s">
        <v>694</v>
      </c>
      <c r="F73" s="77" t="s">
        <v>592</v>
      </c>
      <c r="G73" s="99"/>
      <c r="H73" s="77"/>
      <c r="I73" s="76"/>
      <c r="J73" s="77"/>
      <c r="K73" s="83" t="s">
        <v>1524</v>
      </c>
      <c r="L73" s="92" t="str">
        <f t="shared" si="12"/>
        <v xml:space="preserve">                                                                                                                                                                                    </v>
      </c>
      <c r="M73" s="89" t="s">
        <v>694</v>
      </c>
      <c r="N73" s="87" t="str">
        <f t="shared" si="13"/>
        <v>0000000000072</v>
      </c>
      <c r="O73" s="88">
        <f t="shared" si="14"/>
        <v>13</v>
      </c>
      <c r="P73" s="88" t="str">
        <f t="shared" si="15"/>
        <v>0000000072</v>
      </c>
      <c r="Q73" s="88" t="s">
        <v>1202</v>
      </c>
      <c r="R73" s="92" t="str">
        <f t="shared" si="11"/>
        <v xml:space="preserve">ООО СЕЛТ Павленко Сергей Викторович                                                                                                                                                                                    </v>
      </c>
      <c r="S73" s="92" t="str">
        <f t="shared" si="16"/>
        <v xml:space="preserve">ООО СЕЛТ Павленко Сергей Викторович                                                                                                                                                 </v>
      </c>
      <c r="T73" s="92" t="s">
        <v>1602</v>
      </c>
      <c r="U73" s="104" t="str">
        <f t="shared" si="17"/>
        <v xml:space="preserve">                                                                                                                                                                                    </v>
      </c>
      <c r="V73" s="104" t="str">
        <f t="shared" si="18"/>
        <v xml:space="preserve">                         </v>
      </c>
      <c r="W73" s="105" t="s">
        <v>1618</v>
      </c>
    </row>
    <row r="74" spans="5:23" x14ac:dyDescent="0.25">
      <c r="E74" s="74" t="s">
        <v>695</v>
      </c>
      <c r="F74" s="77" t="s">
        <v>593</v>
      </c>
      <c r="G74" s="99" t="s">
        <v>594</v>
      </c>
      <c r="H74" s="77"/>
      <c r="I74" s="76"/>
      <c r="J74" s="77"/>
      <c r="K74" s="83" t="s">
        <v>1524</v>
      </c>
      <c r="L74" s="92" t="str">
        <f t="shared" si="12"/>
        <v xml:space="preserve">                                                                                                                                                                                    </v>
      </c>
      <c r="M74" s="89" t="s">
        <v>695</v>
      </c>
      <c r="N74" s="87" t="str">
        <f t="shared" si="13"/>
        <v>0000000000073</v>
      </c>
      <c r="O74" s="88">
        <f t="shared" si="14"/>
        <v>13</v>
      </c>
      <c r="P74" s="88" t="str">
        <f t="shared" si="15"/>
        <v>0000000073</v>
      </c>
      <c r="Q74" s="88" t="s">
        <v>1203</v>
      </c>
      <c r="R74" s="92" t="str">
        <f t="shared" si="11"/>
        <v xml:space="preserve">Сергей Директор                                                                                                                                                                                    </v>
      </c>
      <c r="S74" s="92" t="str">
        <f t="shared" si="16"/>
        <v xml:space="preserve">Сергей Директор                                                                                                                                                                     </v>
      </c>
      <c r="T74" s="92" t="s">
        <v>1603</v>
      </c>
      <c r="U74" s="104" t="str">
        <f t="shared" si="17"/>
        <v xml:space="preserve">                                                                                                                                                                                    0713496076</v>
      </c>
      <c r="V74" s="104" t="str">
        <f t="shared" si="18"/>
        <v xml:space="preserve">               0713496076</v>
      </c>
      <c r="W74" s="105" t="s">
        <v>1677</v>
      </c>
    </row>
    <row r="75" spans="5:23" x14ac:dyDescent="0.25">
      <c r="E75" s="74" t="s">
        <v>696</v>
      </c>
      <c r="F75" s="77" t="s">
        <v>491</v>
      </c>
      <c r="G75" s="99" t="s">
        <v>492</v>
      </c>
      <c r="H75" s="77"/>
      <c r="I75" s="76"/>
      <c r="J75" s="77"/>
      <c r="K75" s="83" t="s">
        <v>1524</v>
      </c>
      <c r="L75" s="92" t="str">
        <f t="shared" si="12"/>
        <v xml:space="preserve">                                                                                                                                                                                    </v>
      </c>
      <c r="M75" s="89" t="s">
        <v>696</v>
      </c>
      <c r="N75" s="87" t="str">
        <f t="shared" si="13"/>
        <v>0000000000074</v>
      </c>
      <c r="O75" s="88">
        <f t="shared" si="14"/>
        <v>13</v>
      </c>
      <c r="P75" s="88" t="str">
        <f t="shared" si="15"/>
        <v>0000000074</v>
      </c>
      <c r="Q75" s="88" t="s">
        <v>1204</v>
      </c>
      <c r="R75" s="92" t="str">
        <f t="shared" si="11"/>
        <v xml:space="preserve">Людмила Степановна                                                                                                                                                                                    </v>
      </c>
      <c r="S75" s="92" t="str">
        <f t="shared" si="16"/>
        <v xml:space="preserve">Людмила Степановна                                                                                                                                                                  </v>
      </c>
      <c r="T75" s="92" t="s">
        <v>1561</v>
      </c>
      <c r="U75" s="104" t="str">
        <f t="shared" si="17"/>
        <v xml:space="preserve">                                                                                                                                                                                    0713114488</v>
      </c>
      <c r="V75" s="104" t="str">
        <f t="shared" si="18"/>
        <v xml:space="preserve">               0713114488</v>
      </c>
      <c r="W75" s="105" t="s">
        <v>1641</v>
      </c>
    </row>
    <row r="76" spans="5:23" x14ac:dyDescent="0.25">
      <c r="E76" s="74" t="s">
        <v>697</v>
      </c>
      <c r="F76" s="77" t="s">
        <v>595</v>
      </c>
      <c r="G76" s="99" t="s">
        <v>596</v>
      </c>
      <c r="H76" s="77"/>
      <c r="I76" s="76"/>
      <c r="J76" s="77"/>
      <c r="K76" s="83" t="s">
        <v>1524</v>
      </c>
      <c r="L76" s="92" t="str">
        <f t="shared" si="12"/>
        <v xml:space="preserve">                                                                                                                                                                                    </v>
      </c>
      <c r="M76" s="89" t="s">
        <v>697</v>
      </c>
      <c r="N76" s="87" t="str">
        <f t="shared" si="13"/>
        <v>0000000000075</v>
      </c>
      <c r="O76" s="88">
        <f t="shared" si="14"/>
        <v>13</v>
      </c>
      <c r="P76" s="88" t="str">
        <f t="shared" si="15"/>
        <v>0000000075</v>
      </c>
      <c r="Q76" s="88" t="s">
        <v>1205</v>
      </c>
      <c r="R76" s="92" t="str">
        <f t="shared" si="11"/>
        <v xml:space="preserve">Артем Шахтерск                                                                                                                                                                                    </v>
      </c>
      <c r="S76" s="92" t="str">
        <f t="shared" si="16"/>
        <v xml:space="preserve">Артем Шахтерск                                                                                                                                                                      </v>
      </c>
      <c r="T76" s="92" t="s">
        <v>1604</v>
      </c>
      <c r="U76" s="104" t="str">
        <f t="shared" si="17"/>
        <v xml:space="preserve">                                                                                                                                                                                    0715065904</v>
      </c>
      <c r="V76" s="104" t="str">
        <f t="shared" si="18"/>
        <v xml:space="preserve">               0715065904</v>
      </c>
      <c r="W76" s="105" t="s">
        <v>1678</v>
      </c>
    </row>
    <row r="77" spans="5:23" x14ac:dyDescent="0.25">
      <c r="E77" s="74" t="s">
        <v>698</v>
      </c>
      <c r="F77" s="77" t="s">
        <v>597</v>
      </c>
      <c r="G77" s="99" t="s">
        <v>598</v>
      </c>
      <c r="H77" s="77"/>
      <c r="I77" s="76"/>
      <c r="J77" s="77"/>
      <c r="K77" s="83" t="s">
        <v>1524</v>
      </c>
      <c r="L77" s="92" t="str">
        <f t="shared" si="12"/>
        <v xml:space="preserve">                                                                                                                                                                                    </v>
      </c>
      <c r="M77" s="89" t="s">
        <v>698</v>
      </c>
      <c r="N77" s="87" t="str">
        <f t="shared" si="13"/>
        <v>0000000000076</v>
      </c>
      <c r="O77" s="88">
        <f t="shared" si="14"/>
        <v>13</v>
      </c>
      <c r="P77" s="88" t="str">
        <f t="shared" si="15"/>
        <v>0000000076</v>
      </c>
      <c r="Q77" s="88" t="s">
        <v>1206</v>
      </c>
      <c r="R77" s="92" t="str">
        <f t="shared" si="11"/>
        <v xml:space="preserve">Роман Шевченко Комсомольск                                                                                                                                                                                    </v>
      </c>
      <c r="S77" s="92" t="str">
        <f t="shared" si="16"/>
        <v xml:space="preserve">Роман Шевченко Комсомольск                                                                                                                                                          </v>
      </c>
      <c r="T77" s="92" t="s">
        <v>1605</v>
      </c>
      <c r="U77" s="104" t="str">
        <f t="shared" si="17"/>
        <v xml:space="preserve">                                                                                                                                                                                    0713978430</v>
      </c>
      <c r="V77" s="104" t="str">
        <f t="shared" si="18"/>
        <v xml:space="preserve">               0713978430</v>
      </c>
      <c r="W77" s="105" t="s">
        <v>1679</v>
      </c>
    </row>
    <row r="78" spans="5:23" x14ac:dyDescent="0.25">
      <c r="E78" s="74" t="s">
        <v>699</v>
      </c>
      <c r="F78" s="77" t="s">
        <v>599</v>
      </c>
      <c r="G78" s="99" t="s">
        <v>600</v>
      </c>
      <c r="H78" s="77"/>
      <c r="I78" s="76"/>
      <c r="J78" s="77"/>
      <c r="K78" s="83" t="s">
        <v>1524</v>
      </c>
      <c r="L78" s="92" t="str">
        <f t="shared" si="12"/>
        <v xml:space="preserve">                                                                                                                                                                                    </v>
      </c>
      <c r="M78" s="89" t="s">
        <v>699</v>
      </c>
      <c r="N78" s="87" t="str">
        <f t="shared" si="13"/>
        <v>0000000000077</v>
      </c>
      <c r="O78" s="88">
        <f t="shared" si="14"/>
        <v>13</v>
      </c>
      <c r="P78" s="88" t="str">
        <f t="shared" si="15"/>
        <v>0000000077</v>
      </c>
      <c r="Q78" s="88" t="s">
        <v>1207</v>
      </c>
      <c r="R78" s="92" t="str">
        <f t="shared" si="11"/>
        <v xml:space="preserve">АНДРЕЙ 88                                                                                                                                                                                    </v>
      </c>
      <c r="S78" s="92" t="str">
        <f t="shared" si="16"/>
        <v xml:space="preserve">АНДРЕЙ 88                                                                                                                                                                           </v>
      </c>
      <c r="T78" s="92" t="s">
        <v>1606</v>
      </c>
      <c r="U78" s="104" t="str">
        <f t="shared" si="17"/>
        <v xml:space="preserve">                                                                                                                                                                                    0712013279</v>
      </c>
      <c r="V78" s="104" t="str">
        <f t="shared" si="18"/>
        <v xml:space="preserve">               0712013279</v>
      </c>
      <c r="W78" s="105" t="s">
        <v>1680</v>
      </c>
    </row>
    <row r="79" spans="5:23" x14ac:dyDescent="0.25">
      <c r="E79" s="74" t="s">
        <v>700</v>
      </c>
      <c r="F79" s="77" t="s">
        <v>601</v>
      </c>
      <c r="G79" s="99"/>
      <c r="H79" s="77"/>
      <c r="I79" s="76"/>
      <c r="J79" s="77"/>
      <c r="K79" s="83" t="s">
        <v>1524</v>
      </c>
      <c r="L79" s="92" t="str">
        <f t="shared" si="12"/>
        <v xml:space="preserve">                                                                                                                                                                                    </v>
      </c>
      <c r="M79" s="89" t="s">
        <v>700</v>
      </c>
      <c r="N79" s="87" t="str">
        <f t="shared" si="13"/>
        <v>0000000000078</v>
      </c>
      <c r="O79" s="88">
        <f t="shared" si="14"/>
        <v>13</v>
      </c>
      <c r="P79" s="88" t="str">
        <f t="shared" si="15"/>
        <v>0000000078</v>
      </c>
      <c r="Q79" s="88" t="s">
        <v>1208</v>
      </c>
      <c r="R79" s="92" t="str">
        <f t="shared" si="11"/>
        <v xml:space="preserve">Юля                                                                                                                                                                                        </v>
      </c>
      <c r="S79" s="92" t="str">
        <f t="shared" si="16"/>
        <v xml:space="preserve">Юля                                                                                                                                                                                 </v>
      </c>
      <c r="T79" s="92" t="s">
        <v>1607</v>
      </c>
      <c r="U79" s="104" t="str">
        <f t="shared" si="17"/>
        <v xml:space="preserve">                                                                                                                                                                                    </v>
      </c>
      <c r="V79" s="104" t="str">
        <f t="shared" si="18"/>
        <v xml:space="preserve">                         </v>
      </c>
      <c r="W79" s="105" t="s">
        <v>1618</v>
      </c>
    </row>
    <row r="80" spans="5:23" x14ac:dyDescent="0.25">
      <c r="E80" s="74" t="s">
        <v>701</v>
      </c>
      <c r="F80" s="77" t="s">
        <v>602</v>
      </c>
      <c r="G80" s="99" t="s">
        <v>603</v>
      </c>
      <c r="H80" s="77"/>
      <c r="I80" s="76"/>
      <c r="J80" s="77"/>
      <c r="K80" s="83" t="s">
        <v>1524</v>
      </c>
      <c r="L80" s="92" t="str">
        <f t="shared" si="12"/>
        <v xml:space="preserve">                                                                                                                                                                                    </v>
      </c>
      <c r="M80" s="89" t="s">
        <v>701</v>
      </c>
      <c r="N80" s="87" t="str">
        <f t="shared" si="13"/>
        <v>0000000000079</v>
      </c>
      <c r="O80" s="88">
        <f t="shared" si="14"/>
        <v>13</v>
      </c>
      <c r="P80" s="88" t="str">
        <f t="shared" si="15"/>
        <v>0000000079</v>
      </c>
      <c r="Q80" s="88" t="s">
        <v>1209</v>
      </c>
      <c r="R80" s="92" t="str">
        <f t="shared" si="11"/>
        <v xml:space="preserve">МОБИ БУМ  Максим                                                                                                                                                                                    </v>
      </c>
      <c r="S80" s="92" t="str">
        <f t="shared" si="16"/>
        <v xml:space="preserve">МОБИ БУМ  Максим                                                                                                                                                                    </v>
      </c>
      <c r="T80" s="92" t="s">
        <v>1608</v>
      </c>
      <c r="U80" s="104" t="str">
        <f t="shared" si="17"/>
        <v xml:space="preserve">                                                                                                                                                                                    0713330880</v>
      </c>
      <c r="V80" s="104" t="str">
        <f t="shared" si="18"/>
        <v xml:space="preserve">               0713330880</v>
      </c>
      <c r="W80" s="105" t="s">
        <v>1681</v>
      </c>
    </row>
    <row r="81" spans="5:23" x14ac:dyDescent="0.25">
      <c r="E81" s="74" t="s">
        <v>702</v>
      </c>
      <c r="F81" s="77" t="s">
        <v>604</v>
      </c>
      <c r="G81" s="99" t="s">
        <v>605</v>
      </c>
      <c r="H81" s="77"/>
      <c r="I81" s="76"/>
      <c r="J81" s="77"/>
      <c r="K81" s="83" t="s">
        <v>1524</v>
      </c>
      <c r="L81" s="92" t="str">
        <f t="shared" si="12"/>
        <v xml:space="preserve">                                                                                                                                                                                    </v>
      </c>
      <c r="M81" s="89" t="s">
        <v>702</v>
      </c>
      <c r="N81" s="87" t="str">
        <f t="shared" si="13"/>
        <v>0000000000080</v>
      </c>
      <c r="O81" s="88">
        <f t="shared" si="14"/>
        <v>13</v>
      </c>
      <c r="P81" s="88" t="str">
        <f t="shared" si="15"/>
        <v>0000000080</v>
      </c>
      <c r="Q81" s="88" t="s">
        <v>1210</v>
      </c>
      <c r="R81" s="92" t="str">
        <f t="shared" si="11"/>
        <v xml:space="preserve">Ходорченко Виталий Викторович                                                                                                                                                                                    </v>
      </c>
      <c r="S81" s="92" t="str">
        <f t="shared" si="16"/>
        <v xml:space="preserve">Ходорченко Виталий Викторович                                                                                                                                                       </v>
      </c>
      <c r="T81" s="92" t="s">
        <v>1609</v>
      </c>
      <c r="U81" s="104" t="str">
        <f t="shared" si="17"/>
        <v xml:space="preserve">                                                                                                                                                                                    0715145571</v>
      </c>
      <c r="V81" s="104" t="str">
        <f t="shared" si="18"/>
        <v xml:space="preserve">               0715145571</v>
      </c>
      <c r="W81" s="105" t="s">
        <v>1682</v>
      </c>
    </row>
    <row r="82" spans="5:23" x14ac:dyDescent="0.25">
      <c r="E82" s="74" t="s">
        <v>703</v>
      </c>
      <c r="F82" s="77" t="s">
        <v>606</v>
      </c>
      <c r="G82" s="99" t="s">
        <v>708</v>
      </c>
      <c r="H82" s="77"/>
      <c r="I82" s="76"/>
      <c r="J82" s="77"/>
      <c r="K82" s="83" t="s">
        <v>1524</v>
      </c>
      <c r="L82" s="92" t="str">
        <f t="shared" si="12"/>
        <v xml:space="preserve">                                                                                                                                                                                    </v>
      </c>
      <c r="M82" s="89" t="s">
        <v>703</v>
      </c>
      <c r="N82" s="87" t="str">
        <f t="shared" si="13"/>
        <v>0000000000081</v>
      </c>
      <c r="O82" s="88">
        <f t="shared" si="14"/>
        <v>13</v>
      </c>
      <c r="P82" s="88" t="str">
        <f t="shared" si="15"/>
        <v>0000000081</v>
      </c>
      <c r="Q82" s="88" t="s">
        <v>1211</v>
      </c>
      <c r="R82" s="92" t="str">
        <f t="shared" si="11"/>
        <v xml:space="preserve">Алиса .Денис Макеевка                                                                                                                                                                                    </v>
      </c>
      <c r="S82" s="92" t="str">
        <f t="shared" si="16"/>
        <v xml:space="preserve">Алиса .Денис Макеевка                                                                                                                                                               </v>
      </c>
      <c r="T82" s="92" t="s">
        <v>1610</v>
      </c>
      <c r="U82" s="104" t="str">
        <f t="shared" si="17"/>
        <v xml:space="preserve">                                                                                                                                                                                    0713683751</v>
      </c>
      <c r="V82" s="104" t="str">
        <f t="shared" si="18"/>
        <v xml:space="preserve">               0713683751</v>
      </c>
      <c r="W82" s="105" t="s">
        <v>1683</v>
      </c>
    </row>
    <row r="83" spans="5:23" x14ac:dyDescent="0.25">
      <c r="E83" s="74" t="s">
        <v>704</v>
      </c>
      <c r="F83" s="77" t="s">
        <v>607</v>
      </c>
      <c r="G83" s="99" t="s">
        <v>608</v>
      </c>
      <c r="H83" s="77"/>
      <c r="I83" s="76"/>
      <c r="J83" s="77"/>
      <c r="K83" s="83" t="s">
        <v>1524</v>
      </c>
      <c r="L83" s="92" t="str">
        <f t="shared" si="12"/>
        <v xml:space="preserve">                                                                                                                                                                                    </v>
      </c>
      <c r="M83" s="89" t="s">
        <v>704</v>
      </c>
      <c r="N83" s="87" t="str">
        <f t="shared" si="13"/>
        <v>0000000000082</v>
      </c>
      <c r="O83" s="88">
        <f t="shared" si="14"/>
        <v>13</v>
      </c>
      <c r="P83" s="88" t="str">
        <f t="shared" si="15"/>
        <v>0000000082</v>
      </c>
      <c r="Q83" s="88" t="s">
        <v>1212</v>
      </c>
      <c r="R83" s="92" t="str">
        <f t="shared" si="11"/>
        <v xml:space="preserve">Куница Роман                                                                                                                                                                                    </v>
      </c>
      <c r="S83" s="92" t="str">
        <f t="shared" si="16"/>
        <v xml:space="preserve">Куница Роман                                                                                                                                                                        </v>
      </c>
      <c r="T83" s="92" t="s">
        <v>1611</v>
      </c>
      <c r="U83" s="104" t="str">
        <f t="shared" si="17"/>
        <v xml:space="preserve">                                                                                                                                                                                    0717054396</v>
      </c>
      <c r="V83" s="104" t="str">
        <f t="shared" si="18"/>
        <v xml:space="preserve">               0717054396</v>
      </c>
      <c r="W83" s="105" t="s">
        <v>1684</v>
      </c>
    </row>
    <row r="84" spans="5:23" x14ac:dyDescent="0.25">
      <c r="E84" s="74" t="s">
        <v>705</v>
      </c>
      <c r="F84" s="77" t="s">
        <v>609</v>
      </c>
      <c r="G84" s="99" t="s">
        <v>610</v>
      </c>
      <c r="H84" s="77"/>
      <c r="I84" s="76"/>
      <c r="J84" s="77"/>
      <c r="K84" s="83" t="s">
        <v>1524</v>
      </c>
      <c r="L84" s="92" t="str">
        <f t="shared" si="12"/>
        <v xml:space="preserve">                                                                                                                                                                                    </v>
      </c>
      <c r="M84" s="89" t="s">
        <v>705</v>
      </c>
      <c r="N84" s="87" t="str">
        <f t="shared" si="13"/>
        <v>0000000000083</v>
      </c>
      <c r="O84" s="88">
        <f t="shared" si="14"/>
        <v>13</v>
      </c>
      <c r="P84" s="88" t="str">
        <f t="shared" si="15"/>
        <v>0000000083</v>
      </c>
      <c r="Q84" s="88" t="s">
        <v>1213</v>
      </c>
      <c r="R84" s="92" t="str">
        <f t="shared" si="11"/>
        <v xml:space="preserve">Света (Наташа)                                                                                                                                                                                    </v>
      </c>
      <c r="S84" s="92" t="str">
        <f t="shared" si="16"/>
        <v xml:space="preserve">Света (Наташа)                                                                                                                                                                      </v>
      </c>
      <c r="T84" s="92" t="s">
        <v>1612</v>
      </c>
      <c r="U84" s="104" t="str">
        <f t="shared" si="17"/>
        <v xml:space="preserve">                                                                                                                                                                                    0714284605</v>
      </c>
      <c r="V84" s="104" t="str">
        <f t="shared" si="18"/>
        <v xml:space="preserve">               0714284605</v>
      </c>
      <c r="W84" s="105" t="s">
        <v>1685</v>
      </c>
    </row>
    <row r="85" spans="5:23" x14ac:dyDescent="0.25">
      <c r="E85" s="74" t="s">
        <v>706</v>
      </c>
      <c r="F85" s="77" t="s">
        <v>611</v>
      </c>
      <c r="G85" s="99" t="s">
        <v>612</v>
      </c>
      <c r="H85" s="77"/>
      <c r="I85" s="76"/>
      <c r="J85" s="77"/>
      <c r="K85" s="83" t="s">
        <v>1524</v>
      </c>
      <c r="L85" s="92" t="str">
        <f t="shared" si="12"/>
        <v xml:space="preserve">                                                                                                                                                                                    </v>
      </c>
      <c r="M85" s="89" t="s">
        <v>706</v>
      </c>
      <c r="N85" s="87" t="str">
        <f t="shared" si="13"/>
        <v>0000000000084</v>
      </c>
      <c r="O85" s="88">
        <f t="shared" si="14"/>
        <v>13</v>
      </c>
      <c r="P85" s="88" t="str">
        <f t="shared" si="15"/>
        <v>0000000084</v>
      </c>
      <c r="Q85" s="88" t="s">
        <v>1214</v>
      </c>
      <c r="R85" s="92" t="str">
        <f t="shared" si="11"/>
        <v xml:space="preserve">Александ                                                                                                                                                                                    </v>
      </c>
      <c r="S85" s="92" t="str">
        <f t="shared" si="16"/>
        <v xml:space="preserve">Александ                                                                                                                                                                            </v>
      </c>
      <c r="T85" s="92" t="s">
        <v>1613</v>
      </c>
      <c r="U85" s="104" t="str">
        <f t="shared" si="17"/>
        <v xml:space="preserve">                                                                                                                                                                                    0713125055</v>
      </c>
      <c r="V85" s="104" t="str">
        <f t="shared" si="18"/>
        <v xml:space="preserve">               0713125055</v>
      </c>
      <c r="W85" s="105" t="s">
        <v>1686</v>
      </c>
    </row>
    <row r="86" spans="5:23" x14ac:dyDescent="0.25">
      <c r="E86" s="74" t="s">
        <v>707</v>
      </c>
      <c r="F86" s="77" t="s">
        <v>613</v>
      </c>
      <c r="G86" s="99" t="s">
        <v>614</v>
      </c>
      <c r="H86" s="77"/>
      <c r="I86" s="76"/>
      <c r="J86" s="77"/>
      <c r="K86" s="83" t="s">
        <v>1524</v>
      </c>
      <c r="L86" s="92" t="str">
        <f t="shared" si="12"/>
        <v xml:space="preserve">                                                                                                                                                                                    </v>
      </c>
      <c r="M86" s="89" t="s">
        <v>707</v>
      </c>
      <c r="N86" s="87" t="str">
        <f t="shared" si="13"/>
        <v>0000000000085</v>
      </c>
      <c r="O86" s="88">
        <f t="shared" si="14"/>
        <v>13</v>
      </c>
      <c r="P86" s="88" t="str">
        <f t="shared" si="15"/>
        <v>0000000085</v>
      </c>
      <c r="Q86" s="88" t="s">
        <v>1215</v>
      </c>
      <c r="R86" s="92" t="str">
        <f t="shared" si="11"/>
        <v xml:space="preserve">Марина Алчевск                                                                                                                                                                                    </v>
      </c>
      <c r="S86" s="92" t="str">
        <f t="shared" si="16"/>
        <v xml:space="preserve">Марина Алчевск                                                                                                                                                                      </v>
      </c>
      <c r="T86" s="92" t="s">
        <v>1614</v>
      </c>
      <c r="U86" s="104" t="str">
        <f t="shared" si="17"/>
        <v xml:space="preserve">                                                                                                                                                                                    0721272088</v>
      </c>
      <c r="V86" s="104" t="str">
        <f t="shared" si="18"/>
        <v xml:space="preserve">               0721272088</v>
      </c>
      <c r="W86" s="105" t="s">
        <v>1687</v>
      </c>
    </row>
    <row r="87" spans="5:23" x14ac:dyDescent="0.25">
      <c r="E87" s="74"/>
      <c r="F87" s="77"/>
      <c r="G87" s="99"/>
      <c r="H87" s="77"/>
      <c r="I87" s="76"/>
      <c r="J87" s="77"/>
      <c r="M87" s="89"/>
      <c r="N87" s="89"/>
      <c r="U87" s="106"/>
      <c r="V87" s="106"/>
    </row>
    <row r="88" spans="5:23" x14ac:dyDescent="0.25">
      <c r="E88" s="74"/>
      <c r="F88" s="77"/>
      <c r="G88" s="99"/>
      <c r="H88" s="77"/>
      <c r="I88" s="76"/>
      <c r="J88" s="77"/>
      <c r="M88" s="89"/>
      <c r="N88" s="89"/>
      <c r="U88" s="106"/>
      <c r="V88" s="106"/>
    </row>
    <row r="89" spans="5:23" x14ac:dyDescent="0.25">
      <c r="E89" s="74"/>
      <c r="F89" s="77"/>
      <c r="G89" s="99"/>
      <c r="H89" s="77"/>
      <c r="I89" s="76"/>
      <c r="J89" s="77"/>
      <c r="M89" s="89"/>
      <c r="N89" s="89"/>
      <c r="U89" s="106"/>
      <c r="V89" s="106"/>
    </row>
    <row r="90" spans="5:23" x14ac:dyDescent="0.25">
      <c r="E90" s="74"/>
      <c r="F90" s="77"/>
      <c r="G90" s="99"/>
      <c r="H90" s="77"/>
      <c r="I90" s="76"/>
      <c r="J90" s="77"/>
      <c r="M90" s="89"/>
      <c r="N90" s="89"/>
      <c r="U90" s="106"/>
      <c r="V90" s="106"/>
    </row>
    <row r="91" spans="5:23" x14ac:dyDescent="0.25">
      <c r="E91" s="74"/>
      <c r="F91" s="77"/>
      <c r="G91" s="99"/>
      <c r="H91" s="77"/>
      <c r="I91" s="76"/>
      <c r="J91" s="77"/>
      <c r="M91" s="89"/>
      <c r="N91" s="89"/>
      <c r="U91" s="106"/>
      <c r="V91" s="106"/>
    </row>
    <row r="92" spans="5:23" x14ac:dyDescent="0.25">
      <c r="E92" s="74"/>
      <c r="F92" s="77"/>
      <c r="G92" s="99"/>
      <c r="H92" s="77"/>
      <c r="I92" s="76"/>
      <c r="J92" s="77"/>
      <c r="M92" s="89"/>
      <c r="N92" s="89"/>
      <c r="U92" s="106"/>
      <c r="V92" s="106"/>
    </row>
    <row r="93" spans="5:23" x14ac:dyDescent="0.25">
      <c r="E93" s="74"/>
      <c r="F93" s="77"/>
      <c r="G93" s="99"/>
      <c r="H93" s="77"/>
      <c r="I93" s="76"/>
      <c r="J93" s="77"/>
      <c r="M93" s="89"/>
      <c r="N93" s="89"/>
      <c r="U93" s="106"/>
      <c r="V93" s="106"/>
    </row>
    <row r="94" spans="5:23" x14ac:dyDescent="0.25">
      <c r="E94" s="74"/>
      <c r="F94" s="77"/>
      <c r="G94" s="99"/>
      <c r="H94" s="77"/>
      <c r="I94" s="76"/>
      <c r="J94" s="77"/>
      <c r="M94" s="89"/>
      <c r="N94" s="89"/>
      <c r="U94" s="106"/>
      <c r="V94" s="106"/>
    </row>
    <row r="95" spans="5:23" x14ac:dyDescent="0.25">
      <c r="E95" s="74"/>
      <c r="F95" s="77"/>
      <c r="G95" s="99"/>
      <c r="H95" s="77"/>
      <c r="I95" s="76"/>
      <c r="J95" s="77"/>
      <c r="M95" s="89"/>
      <c r="N95" s="89"/>
      <c r="U95" s="106"/>
      <c r="V95" s="106"/>
    </row>
  </sheetData>
  <autoFilter ref="A1:X1" xr:uid="{A175B3F3-3AF3-4378-93B9-8A2A36B290F5}"/>
  <phoneticPr fontId="12" type="noConversion"/>
  <pageMargins left="0.7" right="0.7" top="0.75" bottom="0.75" header="0.3" footer="0.3"/>
  <pageSetup paperSize="0" orientation="landscape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C76DC-F37C-45CC-A172-C1AC6E6D0BD9}">
  <dimension ref="A1:Z288"/>
  <sheetViews>
    <sheetView workbookViewId="0">
      <selection activeCell="N4" sqref="N4"/>
    </sheetView>
  </sheetViews>
  <sheetFormatPr defaultRowHeight="15" x14ac:dyDescent="0.25"/>
  <cols>
    <col min="3" max="3" width="85" bestFit="1" customWidth="1"/>
    <col min="6" max="6" width="12.85546875" bestFit="1" customWidth="1"/>
    <col min="16" max="16" width="12.85546875" bestFit="1" customWidth="1"/>
  </cols>
  <sheetData>
    <row r="1" spans="1:26" x14ac:dyDescent="0.25">
      <c r="A1" t="s">
        <v>709</v>
      </c>
      <c r="B1" t="s">
        <v>709</v>
      </c>
      <c r="C1" t="s">
        <v>710</v>
      </c>
      <c r="D1" t="s">
        <v>711</v>
      </c>
      <c r="E1" s="21" t="s">
        <v>712</v>
      </c>
      <c r="F1" t="s">
        <v>713</v>
      </c>
      <c r="G1" t="s">
        <v>714</v>
      </c>
      <c r="H1" t="s">
        <v>715</v>
      </c>
      <c r="I1" t="s">
        <v>716</v>
      </c>
      <c r="J1" s="2" t="s">
        <v>717</v>
      </c>
      <c r="K1" s="2" t="s">
        <v>718</v>
      </c>
      <c r="L1" s="2" t="s">
        <v>736</v>
      </c>
      <c r="M1" t="s">
        <v>719</v>
      </c>
      <c r="N1" s="22" t="s">
        <v>720</v>
      </c>
      <c r="O1" s="21" t="s">
        <v>721</v>
      </c>
      <c r="P1" s="23" t="s">
        <v>722</v>
      </c>
      <c r="Q1" s="24"/>
      <c r="R1" s="24"/>
    </row>
    <row r="2" spans="1:26" x14ac:dyDescent="0.25">
      <c r="C2" s="25" t="s">
        <v>407</v>
      </c>
      <c r="D2" s="26" t="s">
        <v>723</v>
      </c>
      <c r="E2" s="27"/>
      <c r="F2" s="28">
        <v>4110</v>
      </c>
      <c r="G2" s="29"/>
      <c r="H2" s="30"/>
      <c r="I2" s="30"/>
      <c r="J2" s="31" t="s">
        <v>724</v>
      </c>
      <c r="K2" s="32" t="s">
        <v>725</v>
      </c>
      <c r="L2" s="32" t="s">
        <v>725</v>
      </c>
      <c r="M2" s="33" t="s">
        <v>726</v>
      </c>
      <c r="N2" s="33" t="s">
        <v>727</v>
      </c>
      <c r="O2" s="32">
        <v>4110</v>
      </c>
      <c r="P2" s="34">
        <v>45412.622835648152</v>
      </c>
    </row>
    <row r="3" spans="1:26" x14ac:dyDescent="0.25">
      <c r="E3" s="35"/>
      <c r="F3" s="36">
        <v>45412.622835648152</v>
      </c>
      <c r="G3" s="37"/>
      <c r="H3" s="30"/>
      <c r="I3" s="30"/>
      <c r="J3" s="31" t="s">
        <v>728</v>
      </c>
      <c r="K3" s="38">
        <v>0</v>
      </c>
      <c r="L3" s="39"/>
      <c r="M3" s="40">
        <v>1</v>
      </c>
      <c r="N3" s="41">
        <v>110</v>
      </c>
      <c r="O3" s="32">
        <v>4110</v>
      </c>
      <c r="P3" s="34">
        <v>45412.622835648152</v>
      </c>
    </row>
    <row r="4" spans="1:26" x14ac:dyDescent="0.25">
      <c r="B4" s="42"/>
      <c r="C4" s="43" t="s">
        <v>729</v>
      </c>
      <c r="D4" s="43" t="s">
        <v>730</v>
      </c>
      <c r="E4" s="43" t="s">
        <v>731</v>
      </c>
      <c r="F4" s="43" t="s">
        <v>728</v>
      </c>
      <c r="G4" s="43" t="s">
        <v>732</v>
      </c>
      <c r="H4" s="44" t="s">
        <v>733</v>
      </c>
      <c r="I4" s="44" t="s">
        <v>734</v>
      </c>
      <c r="J4" s="44">
        <v>0</v>
      </c>
      <c r="K4" s="44">
        <v>1</v>
      </c>
      <c r="L4" s="44">
        <v>2</v>
      </c>
      <c r="M4" s="33"/>
      <c r="N4" s="45"/>
      <c r="O4" s="32">
        <v>4110</v>
      </c>
      <c r="P4" s="34">
        <v>45412.622835648152</v>
      </c>
    </row>
    <row r="5" spans="1:26" x14ac:dyDescent="0.25">
      <c r="B5" s="46">
        <v>1</v>
      </c>
      <c r="C5" s="47" t="s">
        <v>99</v>
      </c>
      <c r="D5" s="48" t="s">
        <v>28</v>
      </c>
      <c r="E5" s="49">
        <v>4</v>
      </c>
      <c r="F5" s="50">
        <v>350</v>
      </c>
      <c r="G5" s="51">
        <v>1400</v>
      </c>
      <c r="H5" s="52">
        <v>-4</v>
      </c>
      <c r="I5" s="53">
        <v>167</v>
      </c>
      <c r="J5" s="54">
        <v>462</v>
      </c>
      <c r="K5" s="54">
        <v>370</v>
      </c>
      <c r="L5" s="54">
        <v>323</v>
      </c>
      <c r="M5" s="55">
        <v>1</v>
      </c>
      <c r="N5" s="56">
        <v>110</v>
      </c>
      <c r="O5" s="32">
        <v>4110</v>
      </c>
      <c r="P5" s="34">
        <v>45412.622835648152</v>
      </c>
      <c r="R5" s="57"/>
      <c r="S5" s="57"/>
      <c r="T5" s="57"/>
      <c r="U5" s="57"/>
      <c r="V5" s="57"/>
      <c r="W5" s="57"/>
      <c r="X5" s="57"/>
      <c r="Y5" s="57"/>
      <c r="Z5" s="57"/>
    </row>
    <row r="6" spans="1:26" x14ac:dyDescent="0.25">
      <c r="B6" s="48">
        <v>2</v>
      </c>
      <c r="C6" s="47" t="s">
        <v>99</v>
      </c>
      <c r="D6" s="48" t="s">
        <v>28</v>
      </c>
      <c r="E6" s="49">
        <v>7</v>
      </c>
      <c r="F6" s="50">
        <v>400</v>
      </c>
      <c r="G6" s="51">
        <v>2800</v>
      </c>
      <c r="H6" s="58">
        <v>-7</v>
      </c>
      <c r="I6" s="53">
        <v>167</v>
      </c>
      <c r="J6" s="54">
        <v>462</v>
      </c>
      <c r="K6" s="54">
        <v>370</v>
      </c>
      <c r="L6" s="54">
        <v>323</v>
      </c>
      <c r="M6" s="55">
        <v>1</v>
      </c>
      <c r="N6" s="56">
        <v>110</v>
      </c>
      <c r="O6" s="32">
        <v>4110</v>
      </c>
      <c r="P6" s="34">
        <v>45412.622835648152</v>
      </c>
    </row>
    <row r="7" spans="1:26" x14ac:dyDescent="0.25">
      <c r="B7" s="48">
        <v>3</v>
      </c>
      <c r="C7" s="47" t="s">
        <v>344</v>
      </c>
      <c r="D7" s="48" t="s">
        <v>28</v>
      </c>
      <c r="E7" s="49">
        <v>3</v>
      </c>
      <c r="F7" s="50">
        <v>300</v>
      </c>
      <c r="G7" s="51">
        <v>900</v>
      </c>
      <c r="H7" s="58">
        <v>-3</v>
      </c>
      <c r="I7" s="53">
        <v>117</v>
      </c>
      <c r="J7" s="54">
        <v>180</v>
      </c>
      <c r="K7" s="54">
        <v>144</v>
      </c>
      <c r="L7" s="54">
        <v>126</v>
      </c>
      <c r="M7" s="55">
        <v>1</v>
      </c>
      <c r="N7" s="56">
        <v>110</v>
      </c>
      <c r="O7" s="32">
        <v>4110</v>
      </c>
      <c r="P7" s="34">
        <v>45412.622835648152</v>
      </c>
    </row>
    <row r="8" spans="1:26" x14ac:dyDescent="0.25">
      <c r="B8" s="48">
        <v>4</v>
      </c>
      <c r="C8" s="47" t="s">
        <v>337</v>
      </c>
      <c r="D8" s="48" t="s">
        <v>28</v>
      </c>
      <c r="E8" s="49">
        <v>1</v>
      </c>
      <c r="F8" s="50">
        <v>1100</v>
      </c>
      <c r="G8" s="51">
        <v>1100</v>
      </c>
      <c r="H8" s="58">
        <v>-1</v>
      </c>
      <c r="I8" s="53">
        <v>389</v>
      </c>
      <c r="J8" s="54">
        <v>1291</v>
      </c>
      <c r="K8" s="54">
        <v>1205</v>
      </c>
      <c r="L8" s="54">
        <v>1119</v>
      </c>
      <c r="M8" s="55">
        <v>1</v>
      </c>
      <c r="N8" s="56">
        <v>110</v>
      </c>
      <c r="O8" s="32">
        <v>4110</v>
      </c>
      <c r="P8" s="34">
        <v>45412.622835648152</v>
      </c>
    </row>
    <row r="9" spans="1:26" x14ac:dyDescent="0.25">
      <c r="B9" s="48">
        <v>5</v>
      </c>
      <c r="C9" s="47" t="s">
        <v>126</v>
      </c>
      <c r="D9" s="48" t="s">
        <v>28</v>
      </c>
      <c r="E9" s="49">
        <v>1</v>
      </c>
      <c r="F9" s="50">
        <v>800</v>
      </c>
      <c r="G9" s="51">
        <v>800</v>
      </c>
      <c r="H9" s="58">
        <v>4</v>
      </c>
      <c r="I9" s="53">
        <v>175</v>
      </c>
      <c r="J9" s="54">
        <v>874</v>
      </c>
      <c r="K9" s="54">
        <v>728</v>
      </c>
      <c r="L9" s="54">
        <v>680</v>
      </c>
      <c r="M9" s="55">
        <v>1</v>
      </c>
      <c r="N9" s="56">
        <v>110</v>
      </c>
      <c r="O9" s="32">
        <v>4110</v>
      </c>
      <c r="P9" s="34">
        <v>45412.622835648152</v>
      </c>
    </row>
    <row r="10" spans="1:26" ht="15.75" x14ac:dyDescent="0.25">
      <c r="B10" s="59"/>
      <c r="C10" s="60"/>
      <c r="D10" s="60"/>
      <c r="E10" s="61" t="s">
        <v>735</v>
      </c>
      <c r="F10" s="62">
        <v>7000</v>
      </c>
      <c r="G10" s="62"/>
      <c r="H10" s="30"/>
      <c r="I10" s="30"/>
      <c r="J10" s="30"/>
      <c r="K10" s="30"/>
      <c r="L10" s="30"/>
      <c r="M10" s="63"/>
      <c r="N10" s="64"/>
      <c r="O10" s="32">
        <v>4110</v>
      </c>
      <c r="P10" s="34">
        <v>45412.622835648152</v>
      </c>
    </row>
    <row r="11" spans="1:26" x14ac:dyDescent="0.25">
      <c r="C11" s="25" t="s">
        <v>407</v>
      </c>
      <c r="D11" s="26" t="s">
        <v>723</v>
      </c>
      <c r="E11" s="27"/>
      <c r="F11" s="28">
        <v>4109</v>
      </c>
      <c r="G11" s="29"/>
      <c r="H11" s="30"/>
      <c r="I11" s="30"/>
      <c r="J11" s="31" t="s">
        <v>724</v>
      </c>
      <c r="K11" s="32" t="s">
        <v>725</v>
      </c>
      <c r="L11" s="32" t="s">
        <v>725</v>
      </c>
      <c r="M11" s="33" t="s">
        <v>726</v>
      </c>
      <c r="N11" s="33" t="s">
        <v>727</v>
      </c>
      <c r="O11" s="32">
        <v>4109</v>
      </c>
      <c r="P11" s="34">
        <v>45410.622835648152</v>
      </c>
    </row>
    <row r="12" spans="1:26" x14ac:dyDescent="0.25">
      <c r="E12" s="35"/>
      <c r="F12" s="36">
        <v>45410.622835648152</v>
      </c>
      <c r="G12" s="37"/>
      <c r="H12" s="30"/>
      <c r="I12" s="30"/>
      <c r="J12" s="31" t="s">
        <v>728</v>
      </c>
      <c r="K12" s="38">
        <v>0</v>
      </c>
      <c r="L12" s="39"/>
      <c r="M12" s="40">
        <v>1</v>
      </c>
      <c r="N12" s="41">
        <v>110</v>
      </c>
      <c r="O12" s="32">
        <v>4109</v>
      </c>
      <c r="P12" s="34">
        <v>45410.622835648152</v>
      </c>
    </row>
    <row r="13" spans="1:26" x14ac:dyDescent="0.25">
      <c r="B13" s="42"/>
      <c r="C13" s="43" t="s">
        <v>729</v>
      </c>
      <c r="D13" s="43" t="s">
        <v>730</v>
      </c>
      <c r="E13" s="43" t="s">
        <v>731</v>
      </c>
      <c r="F13" s="43" t="s">
        <v>728</v>
      </c>
      <c r="G13" s="43" t="s">
        <v>732</v>
      </c>
      <c r="H13" s="44" t="s">
        <v>733</v>
      </c>
      <c r="I13" s="44" t="s">
        <v>734</v>
      </c>
      <c r="J13" s="44">
        <v>0</v>
      </c>
      <c r="K13" s="44">
        <v>1</v>
      </c>
      <c r="L13" s="44">
        <v>2</v>
      </c>
      <c r="M13" s="33"/>
      <c r="N13" s="45"/>
      <c r="O13" s="32">
        <v>4109</v>
      </c>
      <c r="P13" s="34">
        <v>45410.622835648152</v>
      </c>
    </row>
    <row r="14" spans="1:26" x14ac:dyDescent="0.25">
      <c r="B14" s="46">
        <v>1</v>
      </c>
      <c r="C14" s="47" t="s">
        <v>280</v>
      </c>
      <c r="D14" s="48" t="s">
        <v>28</v>
      </c>
      <c r="E14" s="49">
        <v>1</v>
      </c>
      <c r="F14" s="50">
        <v>800</v>
      </c>
      <c r="G14" s="51">
        <v>800</v>
      </c>
      <c r="H14" s="52">
        <v>-1</v>
      </c>
      <c r="I14" s="53">
        <v>99</v>
      </c>
      <c r="J14" s="54">
        <v>755</v>
      </c>
      <c r="K14" s="54">
        <v>705</v>
      </c>
      <c r="L14" s="54">
        <v>655</v>
      </c>
      <c r="M14" s="55">
        <v>1</v>
      </c>
      <c r="N14" s="56">
        <v>110</v>
      </c>
      <c r="O14" s="32">
        <v>4109</v>
      </c>
      <c r="P14" s="34">
        <v>45410.622835648152</v>
      </c>
      <c r="R14" s="57"/>
      <c r="S14" s="57"/>
      <c r="T14" s="57"/>
      <c r="U14" s="57"/>
      <c r="V14" s="57"/>
      <c r="W14" s="57"/>
      <c r="X14" s="57"/>
      <c r="Y14" s="57"/>
      <c r="Z14" s="57"/>
    </row>
    <row r="15" spans="1:26" x14ac:dyDescent="0.25">
      <c r="B15" s="48">
        <v>2</v>
      </c>
      <c r="C15" s="47" t="s">
        <v>355</v>
      </c>
      <c r="D15" s="48" t="s">
        <v>28</v>
      </c>
      <c r="E15" s="49">
        <v>1</v>
      </c>
      <c r="F15" s="50">
        <v>250</v>
      </c>
      <c r="G15" s="51">
        <v>250</v>
      </c>
      <c r="H15" s="58">
        <v>-1</v>
      </c>
      <c r="I15" s="53">
        <v>127</v>
      </c>
      <c r="J15" s="54">
        <v>180</v>
      </c>
      <c r="K15" s="54">
        <v>144</v>
      </c>
      <c r="L15" s="54">
        <v>126</v>
      </c>
      <c r="M15" s="55">
        <v>1</v>
      </c>
      <c r="N15" s="56">
        <v>110</v>
      </c>
      <c r="O15" s="32">
        <v>4109</v>
      </c>
      <c r="P15" s="34">
        <v>45410.622835648152</v>
      </c>
    </row>
    <row r="16" spans="1:26" x14ac:dyDescent="0.25">
      <c r="B16" s="48">
        <v>3</v>
      </c>
      <c r="C16" s="47" t="s">
        <v>99</v>
      </c>
      <c r="D16" s="48" t="s">
        <v>28</v>
      </c>
      <c r="E16" s="49">
        <v>4</v>
      </c>
      <c r="F16" s="50">
        <v>400</v>
      </c>
      <c r="G16" s="51">
        <v>1600</v>
      </c>
      <c r="H16" s="58">
        <v>-4</v>
      </c>
      <c r="I16" s="53">
        <v>167</v>
      </c>
      <c r="J16" s="54">
        <v>462</v>
      </c>
      <c r="K16" s="54">
        <v>370</v>
      </c>
      <c r="L16" s="54">
        <v>323</v>
      </c>
      <c r="M16" s="55">
        <v>1</v>
      </c>
      <c r="N16" s="56">
        <v>110</v>
      </c>
      <c r="O16" s="32">
        <v>4109</v>
      </c>
      <c r="P16" s="34">
        <v>45410.622835648152</v>
      </c>
    </row>
    <row r="17" spans="2:26" x14ac:dyDescent="0.25">
      <c r="B17" s="48">
        <v>4</v>
      </c>
      <c r="C17" s="47" t="s">
        <v>214</v>
      </c>
      <c r="D17" s="48" t="s">
        <v>28</v>
      </c>
      <c r="E17" s="49">
        <v>1</v>
      </c>
      <c r="F17" s="50">
        <v>1500</v>
      </c>
      <c r="G17" s="51">
        <v>1500</v>
      </c>
      <c r="H17" s="58">
        <v>-1</v>
      </c>
      <c r="I17" s="53">
        <v>170</v>
      </c>
      <c r="J17" s="54">
        <v>462</v>
      </c>
      <c r="K17" s="54">
        <v>370</v>
      </c>
      <c r="L17" s="54">
        <v>323</v>
      </c>
      <c r="M17" s="55">
        <v>1</v>
      </c>
      <c r="N17" s="56">
        <v>110</v>
      </c>
      <c r="O17" s="32">
        <v>4109</v>
      </c>
      <c r="P17" s="34">
        <v>45410.622835648152</v>
      </c>
    </row>
    <row r="18" spans="2:26" x14ac:dyDescent="0.25">
      <c r="B18" s="48">
        <v>5</v>
      </c>
      <c r="C18" s="47" t="s">
        <v>213</v>
      </c>
      <c r="D18" s="48" t="s">
        <v>28</v>
      </c>
      <c r="E18" s="49">
        <v>1</v>
      </c>
      <c r="F18" s="50">
        <v>400</v>
      </c>
      <c r="G18" s="51">
        <v>400</v>
      </c>
      <c r="H18" s="58">
        <v>-1</v>
      </c>
      <c r="I18" s="53">
        <v>169</v>
      </c>
      <c r="J18" s="54">
        <v>462</v>
      </c>
      <c r="K18" s="54">
        <v>370</v>
      </c>
      <c r="L18" s="54">
        <v>323</v>
      </c>
      <c r="M18" s="55">
        <v>1</v>
      </c>
      <c r="N18" s="56">
        <v>110</v>
      </c>
      <c r="O18" s="32">
        <v>4109</v>
      </c>
      <c r="P18" s="34">
        <v>45410.622835648152</v>
      </c>
    </row>
    <row r="19" spans="2:26" x14ac:dyDescent="0.25">
      <c r="B19" s="48">
        <v>6</v>
      </c>
      <c r="C19" s="47" t="s">
        <v>279</v>
      </c>
      <c r="D19" s="48" t="s">
        <v>28</v>
      </c>
      <c r="E19" s="49">
        <v>1</v>
      </c>
      <c r="F19" s="50">
        <v>200</v>
      </c>
      <c r="G19" s="51">
        <v>200</v>
      </c>
      <c r="H19" s="58">
        <v>-1</v>
      </c>
      <c r="I19" s="53">
        <v>98</v>
      </c>
      <c r="J19" s="54">
        <v>151</v>
      </c>
      <c r="K19" s="54">
        <v>141</v>
      </c>
      <c r="L19" s="54">
        <v>131</v>
      </c>
      <c r="M19" s="55">
        <v>1</v>
      </c>
      <c r="N19" s="56">
        <v>110</v>
      </c>
      <c r="O19" s="32">
        <v>4109</v>
      </c>
      <c r="P19" s="34">
        <v>45410.622835648152</v>
      </c>
    </row>
    <row r="20" spans="2:26" ht="15.75" x14ac:dyDescent="0.25">
      <c r="B20" s="59"/>
      <c r="C20" s="60"/>
      <c r="D20" s="60"/>
      <c r="E20" s="61" t="s">
        <v>735</v>
      </c>
      <c r="F20" s="62">
        <v>4750</v>
      </c>
      <c r="G20" s="62"/>
      <c r="H20" s="30"/>
      <c r="I20" s="30"/>
      <c r="J20" s="30"/>
      <c r="K20" s="30"/>
      <c r="L20" s="30"/>
      <c r="M20" s="63"/>
      <c r="N20" s="64"/>
      <c r="O20" s="32">
        <v>4109</v>
      </c>
      <c r="P20" s="34">
        <v>45410.622835648152</v>
      </c>
    </row>
    <row r="21" spans="2:26" x14ac:dyDescent="0.25">
      <c r="C21" s="25" t="s">
        <v>407</v>
      </c>
      <c r="D21" s="26" t="s">
        <v>723</v>
      </c>
      <c r="E21" s="27"/>
      <c r="F21" s="28">
        <v>4108</v>
      </c>
      <c r="G21" s="29"/>
      <c r="H21" s="30"/>
      <c r="I21" s="30"/>
      <c r="J21" s="31" t="s">
        <v>724</v>
      </c>
      <c r="K21" s="32" t="s">
        <v>725</v>
      </c>
      <c r="L21" s="32" t="s">
        <v>725</v>
      </c>
      <c r="M21" s="33" t="s">
        <v>726</v>
      </c>
      <c r="N21" s="33" t="s">
        <v>727</v>
      </c>
      <c r="O21" s="32">
        <v>4108</v>
      </c>
      <c r="P21" s="34">
        <v>45409.45888888889</v>
      </c>
    </row>
    <row r="22" spans="2:26" x14ac:dyDescent="0.25">
      <c r="E22" s="35"/>
      <c r="F22" s="36">
        <v>45409.45888888889</v>
      </c>
      <c r="G22" s="37"/>
      <c r="H22" s="30"/>
      <c r="I22" s="30"/>
      <c r="J22" s="31" t="s">
        <v>728</v>
      </c>
      <c r="K22" s="38">
        <v>0</v>
      </c>
      <c r="L22" s="39"/>
      <c r="M22" s="40">
        <v>1</v>
      </c>
      <c r="N22" s="41">
        <v>110</v>
      </c>
      <c r="O22" s="32">
        <v>4108</v>
      </c>
      <c r="P22" s="34">
        <v>45409.45888888889</v>
      </c>
    </row>
    <row r="23" spans="2:26" x14ac:dyDescent="0.25">
      <c r="B23" s="42"/>
      <c r="C23" s="43" t="s">
        <v>729</v>
      </c>
      <c r="D23" s="43" t="s">
        <v>730</v>
      </c>
      <c r="E23" s="43" t="s">
        <v>731</v>
      </c>
      <c r="F23" s="43" t="s">
        <v>728</v>
      </c>
      <c r="G23" s="43" t="s">
        <v>732</v>
      </c>
      <c r="H23" s="44" t="s">
        <v>733</v>
      </c>
      <c r="I23" s="44" t="s">
        <v>734</v>
      </c>
      <c r="J23" s="44">
        <v>0</v>
      </c>
      <c r="K23" s="44">
        <v>1</v>
      </c>
      <c r="L23" s="44">
        <v>2</v>
      </c>
      <c r="M23" s="33"/>
      <c r="N23" s="45"/>
      <c r="O23" s="32">
        <v>4108</v>
      </c>
      <c r="P23" s="34">
        <v>45409.45888888889</v>
      </c>
    </row>
    <row r="24" spans="2:26" x14ac:dyDescent="0.25">
      <c r="B24" s="46">
        <v>1</v>
      </c>
      <c r="C24" s="47" t="s">
        <v>125</v>
      </c>
      <c r="D24" s="48" t="s">
        <v>28</v>
      </c>
      <c r="E24" s="49">
        <v>1</v>
      </c>
      <c r="F24" s="50">
        <v>900</v>
      </c>
      <c r="G24" s="51">
        <v>900</v>
      </c>
      <c r="H24" s="52">
        <v>15</v>
      </c>
      <c r="I24" s="53">
        <v>33</v>
      </c>
      <c r="J24" s="54">
        <v>876</v>
      </c>
      <c r="K24" s="54">
        <v>730</v>
      </c>
      <c r="L24" s="54">
        <v>681</v>
      </c>
      <c r="M24" s="55">
        <v>1</v>
      </c>
      <c r="N24" s="56">
        <v>110</v>
      </c>
      <c r="O24" s="32">
        <v>4108</v>
      </c>
      <c r="P24" s="34">
        <v>45409.45888888889</v>
      </c>
      <c r="R24" s="57"/>
      <c r="S24" s="57"/>
      <c r="T24" s="57"/>
      <c r="U24" s="57"/>
      <c r="V24" s="57"/>
      <c r="W24" s="57"/>
      <c r="X24" s="57"/>
      <c r="Y24" s="57"/>
      <c r="Z24" s="57"/>
    </row>
    <row r="25" spans="2:26" x14ac:dyDescent="0.25">
      <c r="B25" s="48">
        <v>2</v>
      </c>
      <c r="C25" s="47" t="s">
        <v>99</v>
      </c>
      <c r="D25" s="48" t="s">
        <v>28</v>
      </c>
      <c r="E25" s="49">
        <v>2</v>
      </c>
      <c r="F25" s="50">
        <v>350</v>
      </c>
      <c r="G25" s="51">
        <v>700</v>
      </c>
      <c r="H25" s="58">
        <v>-2</v>
      </c>
      <c r="I25" s="53">
        <v>167</v>
      </c>
      <c r="J25" s="54">
        <v>462</v>
      </c>
      <c r="K25" s="54">
        <v>370</v>
      </c>
      <c r="L25" s="54">
        <v>323</v>
      </c>
      <c r="M25" s="55">
        <v>1</v>
      </c>
      <c r="N25" s="56">
        <v>110</v>
      </c>
      <c r="O25" s="32">
        <v>4108</v>
      </c>
      <c r="P25" s="34">
        <v>45409.45888888889</v>
      </c>
    </row>
    <row r="26" spans="2:26" x14ac:dyDescent="0.25">
      <c r="B26" s="48">
        <v>3</v>
      </c>
      <c r="C26" s="47" t="s">
        <v>99</v>
      </c>
      <c r="D26" s="48" t="s">
        <v>28</v>
      </c>
      <c r="E26" s="49">
        <v>2</v>
      </c>
      <c r="F26" s="50">
        <v>400</v>
      </c>
      <c r="G26" s="51">
        <v>800</v>
      </c>
      <c r="H26" s="58">
        <v>-2</v>
      </c>
      <c r="I26" s="53">
        <v>167</v>
      </c>
      <c r="J26" s="54">
        <v>462</v>
      </c>
      <c r="K26" s="54">
        <v>370</v>
      </c>
      <c r="L26" s="54">
        <v>323</v>
      </c>
      <c r="M26" s="55">
        <v>1</v>
      </c>
      <c r="N26" s="56">
        <v>110</v>
      </c>
      <c r="O26" s="32">
        <v>4108</v>
      </c>
      <c r="P26" s="34">
        <v>45409.45888888889</v>
      </c>
    </row>
    <row r="27" spans="2:26" x14ac:dyDescent="0.25">
      <c r="B27" s="48">
        <v>4</v>
      </c>
      <c r="C27" s="47" t="s">
        <v>355</v>
      </c>
      <c r="D27" s="48" t="s">
        <v>28</v>
      </c>
      <c r="E27" s="49">
        <v>2</v>
      </c>
      <c r="F27" s="50">
        <v>250</v>
      </c>
      <c r="G27" s="51">
        <v>500</v>
      </c>
      <c r="H27" s="58">
        <v>-2</v>
      </c>
      <c r="I27" s="53">
        <v>127</v>
      </c>
      <c r="J27" s="54">
        <v>180</v>
      </c>
      <c r="K27" s="54">
        <v>144</v>
      </c>
      <c r="L27" s="54">
        <v>126</v>
      </c>
      <c r="M27" s="55">
        <v>1</v>
      </c>
      <c r="N27" s="56">
        <v>110</v>
      </c>
      <c r="O27" s="32">
        <v>4108</v>
      </c>
      <c r="P27" s="34">
        <v>45409.45888888889</v>
      </c>
    </row>
    <row r="28" spans="2:26" x14ac:dyDescent="0.25">
      <c r="B28" s="48">
        <v>5</v>
      </c>
      <c r="C28" s="47" t="s">
        <v>338</v>
      </c>
      <c r="D28" s="48" t="s">
        <v>28</v>
      </c>
      <c r="E28" s="49">
        <v>1</v>
      </c>
      <c r="F28" s="50">
        <v>800</v>
      </c>
      <c r="G28" s="51">
        <v>800</v>
      </c>
      <c r="H28" s="58">
        <v>-1</v>
      </c>
      <c r="I28" s="53">
        <v>391</v>
      </c>
      <c r="J28" s="54">
        <v>908</v>
      </c>
      <c r="K28" s="54">
        <v>847</v>
      </c>
      <c r="L28" s="54">
        <v>787</v>
      </c>
      <c r="M28" s="55">
        <v>1</v>
      </c>
      <c r="N28" s="56">
        <v>110</v>
      </c>
      <c r="O28" s="32">
        <v>4108</v>
      </c>
      <c r="P28" s="34">
        <v>45409.45888888889</v>
      </c>
    </row>
    <row r="29" spans="2:26" x14ac:dyDescent="0.25">
      <c r="B29" s="48">
        <v>6</v>
      </c>
      <c r="C29" s="47" t="s">
        <v>99</v>
      </c>
      <c r="D29" s="48" t="s">
        <v>28</v>
      </c>
      <c r="E29" s="49">
        <v>4</v>
      </c>
      <c r="F29" s="50">
        <v>400</v>
      </c>
      <c r="G29" s="51">
        <v>1600</v>
      </c>
      <c r="H29" s="58">
        <v>-4</v>
      </c>
      <c r="I29" s="53">
        <v>167</v>
      </c>
      <c r="J29" s="54">
        <v>462</v>
      </c>
      <c r="K29" s="54">
        <v>370</v>
      </c>
      <c r="L29" s="54">
        <v>323</v>
      </c>
      <c r="M29" s="55">
        <v>1</v>
      </c>
      <c r="N29" s="56">
        <v>110</v>
      </c>
      <c r="O29" s="32">
        <v>4108</v>
      </c>
      <c r="P29" s="34">
        <v>45409.45888888889</v>
      </c>
    </row>
    <row r="30" spans="2:26" x14ac:dyDescent="0.25">
      <c r="B30" s="48">
        <v>7</v>
      </c>
      <c r="C30" s="47" t="s">
        <v>10</v>
      </c>
      <c r="D30" s="48" t="s">
        <v>5</v>
      </c>
      <c r="E30" s="49">
        <v>1</v>
      </c>
      <c r="F30" s="50">
        <v>250</v>
      </c>
      <c r="G30" s="51">
        <v>250</v>
      </c>
      <c r="H30" s="58">
        <v>-1</v>
      </c>
      <c r="I30" s="53">
        <v>4</v>
      </c>
      <c r="J30" s="54">
        <v>248</v>
      </c>
      <c r="K30" s="54">
        <v>198</v>
      </c>
      <c r="L30" s="54">
        <v>188</v>
      </c>
      <c r="M30" s="55">
        <v>1</v>
      </c>
      <c r="N30" s="56">
        <v>110</v>
      </c>
      <c r="O30" s="32">
        <v>4108</v>
      </c>
      <c r="P30" s="34">
        <v>45409.45888888889</v>
      </c>
    </row>
    <row r="31" spans="2:26" x14ac:dyDescent="0.25">
      <c r="B31" s="48">
        <v>8</v>
      </c>
      <c r="C31" s="47" t="s">
        <v>104</v>
      </c>
      <c r="D31" s="48" t="s">
        <v>28</v>
      </c>
      <c r="E31" s="49">
        <v>1</v>
      </c>
      <c r="F31" s="50">
        <v>150</v>
      </c>
      <c r="G31" s="51">
        <v>150</v>
      </c>
      <c r="H31" s="58">
        <v>-1</v>
      </c>
      <c r="I31" s="53">
        <v>274</v>
      </c>
      <c r="J31" s="54">
        <v>107</v>
      </c>
      <c r="K31" s="54">
        <v>95</v>
      </c>
      <c r="L31" s="54">
        <v>95</v>
      </c>
      <c r="M31" s="55">
        <v>1</v>
      </c>
      <c r="N31" s="56">
        <v>110</v>
      </c>
      <c r="O31" s="32">
        <v>4108</v>
      </c>
      <c r="P31" s="34">
        <v>45409.45888888889</v>
      </c>
    </row>
    <row r="32" spans="2:26" ht="15.75" x14ac:dyDescent="0.25">
      <c r="B32" s="59"/>
      <c r="C32" s="60"/>
      <c r="D32" s="60"/>
      <c r="E32" s="61" t="s">
        <v>735</v>
      </c>
      <c r="F32" s="62">
        <v>5700</v>
      </c>
      <c r="G32" s="62"/>
      <c r="H32" s="30"/>
      <c r="I32" s="30"/>
      <c r="J32" s="30"/>
      <c r="K32" s="30"/>
      <c r="L32" s="30"/>
      <c r="M32" s="63"/>
      <c r="N32" s="64"/>
      <c r="O32" s="32">
        <v>4108</v>
      </c>
      <c r="P32" s="34">
        <v>45409.45888888889</v>
      </c>
    </row>
    <row r="33" spans="2:26" x14ac:dyDescent="0.25">
      <c r="C33" s="25" t="s">
        <v>517</v>
      </c>
      <c r="D33" s="26" t="s">
        <v>723</v>
      </c>
      <c r="E33" s="27"/>
      <c r="F33" s="28">
        <v>4107</v>
      </c>
      <c r="G33" s="29"/>
      <c r="H33" s="30"/>
      <c r="I33" s="30"/>
      <c r="J33" s="31" t="s">
        <v>724</v>
      </c>
      <c r="K33" s="32" t="s">
        <v>725</v>
      </c>
      <c r="L33" s="32" t="s">
        <v>725</v>
      </c>
      <c r="M33" s="33" t="s">
        <v>726</v>
      </c>
      <c r="N33" s="33" t="s">
        <v>727</v>
      </c>
      <c r="O33" s="32">
        <v>4107</v>
      </c>
      <c r="P33" s="34">
        <v>45408.674270833333</v>
      </c>
    </row>
    <row r="34" spans="2:26" x14ac:dyDescent="0.25">
      <c r="E34" s="35"/>
      <c r="F34" s="36">
        <v>45408.674270833333</v>
      </c>
      <c r="G34" s="37"/>
      <c r="H34" s="30"/>
      <c r="I34" s="30"/>
      <c r="J34" s="31" t="s">
        <v>728</v>
      </c>
      <c r="K34" s="38">
        <v>0</v>
      </c>
      <c r="L34" s="39"/>
      <c r="M34" s="40">
        <v>39</v>
      </c>
      <c r="N34" s="41">
        <v>110</v>
      </c>
      <c r="O34" s="32">
        <v>4107</v>
      </c>
      <c r="P34" s="34">
        <v>45408.674270833333</v>
      </c>
    </row>
    <row r="35" spans="2:26" x14ac:dyDescent="0.25">
      <c r="B35" s="42"/>
      <c r="C35" s="43" t="s">
        <v>729</v>
      </c>
      <c r="D35" s="43" t="s">
        <v>730</v>
      </c>
      <c r="E35" s="43" t="s">
        <v>731</v>
      </c>
      <c r="F35" s="43" t="s">
        <v>728</v>
      </c>
      <c r="G35" s="43" t="s">
        <v>732</v>
      </c>
      <c r="H35" s="44" t="s">
        <v>733</v>
      </c>
      <c r="I35" s="44" t="s">
        <v>734</v>
      </c>
      <c r="J35" s="44">
        <v>0</v>
      </c>
      <c r="K35" s="44">
        <v>1</v>
      </c>
      <c r="L35" s="44">
        <v>2</v>
      </c>
      <c r="M35" s="33"/>
      <c r="N35" s="45"/>
      <c r="O35" s="32">
        <v>4107</v>
      </c>
      <c r="P35" s="34">
        <v>45408.674270833333</v>
      </c>
    </row>
    <row r="36" spans="2:26" x14ac:dyDescent="0.25">
      <c r="B36" s="46">
        <v>1</v>
      </c>
      <c r="C36" s="47" t="s">
        <v>339</v>
      </c>
      <c r="D36" s="48" t="s">
        <v>28</v>
      </c>
      <c r="E36" s="49">
        <v>1</v>
      </c>
      <c r="F36" s="50">
        <v>1300</v>
      </c>
      <c r="G36" s="51">
        <v>1300</v>
      </c>
      <c r="H36" s="52">
        <v>0</v>
      </c>
      <c r="I36" s="53">
        <v>390</v>
      </c>
      <c r="J36" s="54">
        <v>1648</v>
      </c>
      <c r="K36" s="54">
        <v>1538</v>
      </c>
      <c r="L36" s="54">
        <v>1428</v>
      </c>
      <c r="M36" s="55">
        <v>39</v>
      </c>
      <c r="N36" s="56">
        <v>110</v>
      </c>
      <c r="O36" s="32">
        <v>4107</v>
      </c>
      <c r="P36" s="34">
        <v>45408.674270833333</v>
      </c>
      <c r="R36" s="57"/>
      <c r="S36" s="57"/>
      <c r="T36" s="57"/>
      <c r="U36" s="57"/>
      <c r="V36" s="57"/>
      <c r="W36" s="57"/>
      <c r="X36" s="57"/>
      <c r="Y36" s="57"/>
      <c r="Z36" s="57"/>
    </row>
    <row r="37" spans="2:26" x14ac:dyDescent="0.25">
      <c r="B37" s="48">
        <v>2</v>
      </c>
      <c r="C37" s="47" t="s">
        <v>337</v>
      </c>
      <c r="D37" s="48" t="s">
        <v>28</v>
      </c>
      <c r="E37" s="49">
        <v>1</v>
      </c>
      <c r="F37" s="50">
        <v>1000</v>
      </c>
      <c r="G37" s="51">
        <v>1000</v>
      </c>
      <c r="H37" s="58">
        <v>-1</v>
      </c>
      <c r="I37" s="53">
        <v>389</v>
      </c>
      <c r="J37" s="54">
        <v>1291</v>
      </c>
      <c r="K37" s="54">
        <v>1205</v>
      </c>
      <c r="L37" s="54">
        <v>1119</v>
      </c>
      <c r="M37" s="55">
        <v>39</v>
      </c>
      <c r="N37" s="56">
        <v>110</v>
      </c>
      <c r="O37" s="32">
        <v>4107</v>
      </c>
      <c r="P37" s="34">
        <v>45408.674270833333</v>
      </c>
    </row>
    <row r="38" spans="2:26" ht="15.75" x14ac:dyDescent="0.25">
      <c r="B38" s="59"/>
      <c r="C38" s="60"/>
      <c r="D38" s="60"/>
      <c r="E38" s="61" t="s">
        <v>735</v>
      </c>
      <c r="F38" s="62">
        <v>2300</v>
      </c>
      <c r="G38" s="62"/>
      <c r="H38" s="30"/>
      <c r="I38" s="30"/>
      <c r="J38" s="30"/>
      <c r="K38" s="30"/>
      <c r="L38" s="30"/>
      <c r="M38" s="63"/>
      <c r="N38" s="64"/>
      <c r="O38" s="32">
        <v>4107</v>
      </c>
      <c r="P38" s="34">
        <v>45408.674270833333</v>
      </c>
    </row>
    <row r="39" spans="2:26" x14ac:dyDescent="0.25">
      <c r="C39" s="25" t="s">
        <v>407</v>
      </c>
      <c r="D39" s="26" t="s">
        <v>723</v>
      </c>
      <c r="E39" s="27"/>
      <c r="F39" s="28">
        <v>4106</v>
      </c>
      <c r="G39" s="29"/>
      <c r="H39" s="30"/>
      <c r="I39" s="30"/>
      <c r="J39" s="31" t="s">
        <v>724</v>
      </c>
      <c r="K39" s="32" t="s">
        <v>725</v>
      </c>
      <c r="L39" s="32" t="s">
        <v>725</v>
      </c>
      <c r="M39" s="33" t="s">
        <v>726</v>
      </c>
      <c r="N39" s="33" t="s">
        <v>727</v>
      </c>
      <c r="O39" s="32">
        <v>4106</v>
      </c>
      <c r="P39" s="34">
        <v>45408.674270833333</v>
      </c>
    </row>
    <row r="40" spans="2:26" x14ac:dyDescent="0.25">
      <c r="E40" s="35"/>
      <c r="F40" s="36">
        <v>45408.674270833333</v>
      </c>
      <c r="G40" s="37"/>
      <c r="H40" s="30"/>
      <c r="I40" s="30"/>
      <c r="J40" s="31" t="s">
        <v>728</v>
      </c>
      <c r="K40" s="38">
        <v>0</v>
      </c>
      <c r="L40" s="39"/>
      <c r="M40" s="40">
        <v>1</v>
      </c>
      <c r="N40" s="41">
        <v>110</v>
      </c>
      <c r="O40" s="32">
        <v>4106</v>
      </c>
      <c r="P40" s="34">
        <v>45408.674270833333</v>
      </c>
    </row>
    <row r="41" spans="2:26" x14ac:dyDescent="0.25">
      <c r="B41" s="42"/>
      <c r="C41" s="43" t="s">
        <v>729</v>
      </c>
      <c r="D41" s="43" t="s">
        <v>730</v>
      </c>
      <c r="E41" s="43" t="s">
        <v>731</v>
      </c>
      <c r="F41" s="43" t="s">
        <v>728</v>
      </c>
      <c r="G41" s="43" t="s">
        <v>732</v>
      </c>
      <c r="H41" s="44" t="s">
        <v>733</v>
      </c>
      <c r="I41" s="44" t="s">
        <v>734</v>
      </c>
      <c r="J41" s="44">
        <v>0</v>
      </c>
      <c r="K41" s="44">
        <v>1</v>
      </c>
      <c r="L41" s="44">
        <v>2</v>
      </c>
      <c r="M41" s="33"/>
      <c r="N41" s="45"/>
      <c r="O41" s="32">
        <v>4106</v>
      </c>
      <c r="P41" s="34">
        <v>45408.674270833333</v>
      </c>
    </row>
    <row r="42" spans="2:26" x14ac:dyDescent="0.25">
      <c r="B42" s="46">
        <v>1</v>
      </c>
      <c r="C42" s="47" t="s">
        <v>344</v>
      </c>
      <c r="D42" s="48" t="s">
        <v>28</v>
      </c>
      <c r="E42" s="49">
        <v>1</v>
      </c>
      <c r="F42" s="50">
        <v>350</v>
      </c>
      <c r="G42" s="51">
        <v>350</v>
      </c>
      <c r="H42" s="52">
        <v>-1</v>
      </c>
      <c r="I42" s="53">
        <v>117</v>
      </c>
      <c r="J42" s="54">
        <v>180</v>
      </c>
      <c r="K42" s="54">
        <v>144</v>
      </c>
      <c r="L42" s="54">
        <v>126</v>
      </c>
      <c r="M42" s="55">
        <v>1</v>
      </c>
      <c r="N42" s="56">
        <v>110</v>
      </c>
      <c r="O42" s="32">
        <v>4106</v>
      </c>
      <c r="P42" s="34">
        <v>45408.674270833333</v>
      </c>
      <c r="R42" s="57"/>
      <c r="S42" s="57"/>
      <c r="T42" s="57"/>
      <c r="U42" s="57"/>
      <c r="V42" s="57"/>
      <c r="W42" s="57"/>
      <c r="X42" s="57"/>
      <c r="Y42" s="57"/>
      <c r="Z42" s="57"/>
    </row>
    <row r="43" spans="2:26" x14ac:dyDescent="0.25">
      <c r="B43" s="48">
        <v>2</v>
      </c>
      <c r="C43" s="47" t="s">
        <v>126</v>
      </c>
      <c r="D43" s="48" t="s">
        <v>28</v>
      </c>
      <c r="E43" s="49">
        <v>1</v>
      </c>
      <c r="F43" s="50">
        <v>800</v>
      </c>
      <c r="G43" s="51">
        <v>800</v>
      </c>
      <c r="H43" s="58">
        <v>-1</v>
      </c>
      <c r="I43" s="53">
        <v>175</v>
      </c>
      <c r="J43" s="54">
        <v>874</v>
      </c>
      <c r="K43" s="54">
        <v>728</v>
      </c>
      <c r="L43" s="54">
        <v>680</v>
      </c>
      <c r="M43" s="55">
        <v>1</v>
      </c>
      <c r="N43" s="56">
        <v>110</v>
      </c>
      <c r="O43" s="32">
        <v>4106</v>
      </c>
      <c r="P43" s="34">
        <v>45408.674270833333</v>
      </c>
    </row>
    <row r="44" spans="2:26" x14ac:dyDescent="0.25">
      <c r="B44" s="48">
        <v>3</v>
      </c>
      <c r="C44" s="47" t="s">
        <v>355</v>
      </c>
      <c r="D44" s="48" t="s">
        <v>28</v>
      </c>
      <c r="E44" s="49">
        <v>1</v>
      </c>
      <c r="F44" s="50">
        <v>250</v>
      </c>
      <c r="G44" s="51">
        <v>250</v>
      </c>
      <c r="H44" s="58">
        <v>-1</v>
      </c>
      <c r="I44" s="53">
        <v>127</v>
      </c>
      <c r="J44" s="54">
        <v>180</v>
      </c>
      <c r="K44" s="54">
        <v>144</v>
      </c>
      <c r="L44" s="54">
        <v>126</v>
      </c>
      <c r="M44" s="55">
        <v>1</v>
      </c>
      <c r="N44" s="56">
        <v>110</v>
      </c>
      <c r="O44" s="32">
        <v>4106</v>
      </c>
      <c r="P44" s="34">
        <v>45408.674270833333</v>
      </c>
    </row>
    <row r="45" spans="2:26" ht="15.75" x14ac:dyDescent="0.25">
      <c r="B45" s="59"/>
      <c r="C45" s="60"/>
      <c r="D45" s="60"/>
      <c r="E45" s="61" t="s">
        <v>735</v>
      </c>
      <c r="F45" s="62">
        <v>1400</v>
      </c>
      <c r="G45" s="62"/>
      <c r="H45" s="30"/>
      <c r="I45" s="30"/>
      <c r="J45" s="30"/>
      <c r="K45" s="30"/>
      <c r="L45" s="30"/>
      <c r="M45" s="63"/>
      <c r="N45" s="64"/>
      <c r="O45" s="32">
        <v>4106</v>
      </c>
      <c r="P45" s="34">
        <v>45408.674270833333</v>
      </c>
    </row>
    <row r="46" spans="2:26" x14ac:dyDescent="0.25">
      <c r="C46" s="25" t="s">
        <v>407</v>
      </c>
      <c r="D46" s="26" t="s">
        <v>723</v>
      </c>
      <c r="E46" s="27"/>
      <c r="F46" s="28">
        <v>4105</v>
      </c>
      <c r="G46" s="29"/>
      <c r="H46" s="30"/>
      <c r="I46" s="30"/>
      <c r="J46" s="31" t="s">
        <v>724</v>
      </c>
      <c r="K46" s="32" t="s">
        <v>725</v>
      </c>
      <c r="L46" s="32" t="s">
        <v>725</v>
      </c>
      <c r="M46" s="33" t="s">
        <v>726</v>
      </c>
      <c r="N46" s="33" t="s">
        <v>727</v>
      </c>
      <c r="O46" s="32">
        <v>4105</v>
      </c>
      <c r="P46" s="34">
        <v>45407.672280092593</v>
      </c>
    </row>
    <row r="47" spans="2:26" x14ac:dyDescent="0.25">
      <c r="E47" s="35"/>
      <c r="F47" s="36">
        <v>45407.672280092593</v>
      </c>
      <c r="G47" s="37"/>
      <c r="H47" s="30"/>
      <c r="I47" s="30"/>
      <c r="J47" s="31" t="s">
        <v>728</v>
      </c>
      <c r="K47" s="38">
        <v>0</v>
      </c>
      <c r="L47" s="39"/>
      <c r="M47" s="40">
        <v>1</v>
      </c>
      <c r="N47" s="41">
        <v>110</v>
      </c>
      <c r="O47" s="32">
        <v>4105</v>
      </c>
      <c r="P47" s="34">
        <v>45407.672280092593</v>
      </c>
    </row>
    <row r="48" spans="2:26" x14ac:dyDescent="0.25">
      <c r="B48" s="42"/>
      <c r="C48" s="43" t="s">
        <v>729</v>
      </c>
      <c r="D48" s="43" t="s">
        <v>730</v>
      </c>
      <c r="E48" s="43" t="s">
        <v>731</v>
      </c>
      <c r="F48" s="43" t="s">
        <v>728</v>
      </c>
      <c r="G48" s="43" t="s">
        <v>732</v>
      </c>
      <c r="H48" s="44" t="s">
        <v>733</v>
      </c>
      <c r="I48" s="44" t="s">
        <v>734</v>
      </c>
      <c r="J48" s="44">
        <v>0</v>
      </c>
      <c r="K48" s="44">
        <v>1</v>
      </c>
      <c r="L48" s="44">
        <v>2</v>
      </c>
      <c r="M48" s="33"/>
      <c r="N48" s="45"/>
      <c r="O48" s="32">
        <v>4105</v>
      </c>
      <c r="P48" s="34">
        <v>45407.672280092593</v>
      </c>
    </row>
    <row r="49" spans="2:26" x14ac:dyDescent="0.25">
      <c r="B49" s="46">
        <v>1</v>
      </c>
      <c r="C49" s="47" t="s">
        <v>344</v>
      </c>
      <c r="D49" s="48" t="s">
        <v>28</v>
      </c>
      <c r="E49" s="49">
        <v>2</v>
      </c>
      <c r="F49" s="50">
        <v>250</v>
      </c>
      <c r="G49" s="51">
        <v>500</v>
      </c>
      <c r="H49" s="52">
        <v>-2</v>
      </c>
      <c r="I49" s="53">
        <v>117</v>
      </c>
      <c r="J49" s="54">
        <v>180</v>
      </c>
      <c r="K49" s="54">
        <v>144</v>
      </c>
      <c r="L49" s="54">
        <v>126</v>
      </c>
      <c r="M49" s="55">
        <v>1</v>
      </c>
      <c r="N49" s="56">
        <v>110</v>
      </c>
      <c r="O49" s="32">
        <v>4105</v>
      </c>
      <c r="P49" s="34">
        <v>45407.672280092593</v>
      </c>
      <c r="R49" s="57"/>
      <c r="S49" s="57"/>
      <c r="T49" s="57"/>
      <c r="U49" s="57"/>
      <c r="V49" s="57"/>
      <c r="W49" s="57"/>
      <c r="X49" s="57"/>
      <c r="Y49" s="57"/>
      <c r="Z49" s="57"/>
    </row>
    <row r="50" spans="2:26" x14ac:dyDescent="0.25">
      <c r="B50" s="48">
        <v>2</v>
      </c>
      <c r="C50" s="47" t="s">
        <v>99</v>
      </c>
      <c r="D50" s="48" t="s">
        <v>28</v>
      </c>
      <c r="E50" s="49">
        <v>1</v>
      </c>
      <c r="F50" s="50">
        <v>400</v>
      </c>
      <c r="G50" s="51">
        <v>400</v>
      </c>
      <c r="H50" s="58">
        <v>-1</v>
      </c>
      <c r="I50" s="53">
        <v>167</v>
      </c>
      <c r="J50" s="54">
        <v>462</v>
      </c>
      <c r="K50" s="54">
        <v>370</v>
      </c>
      <c r="L50" s="54">
        <v>323</v>
      </c>
      <c r="M50" s="55">
        <v>1</v>
      </c>
      <c r="N50" s="56">
        <v>110</v>
      </c>
      <c r="O50" s="32">
        <v>4105</v>
      </c>
      <c r="P50" s="34">
        <v>45407.672280092593</v>
      </c>
    </row>
    <row r="51" spans="2:26" x14ac:dyDescent="0.25">
      <c r="B51" s="48">
        <v>3</v>
      </c>
      <c r="C51" s="47" t="s">
        <v>355</v>
      </c>
      <c r="D51" s="48" t="s">
        <v>28</v>
      </c>
      <c r="E51" s="49">
        <v>1</v>
      </c>
      <c r="F51" s="50">
        <v>250</v>
      </c>
      <c r="G51" s="51">
        <v>250</v>
      </c>
      <c r="H51" s="58">
        <v>-1</v>
      </c>
      <c r="I51" s="53">
        <v>127</v>
      </c>
      <c r="J51" s="54">
        <v>180</v>
      </c>
      <c r="K51" s="54">
        <v>144</v>
      </c>
      <c r="L51" s="54">
        <v>126</v>
      </c>
      <c r="M51" s="55">
        <v>1</v>
      </c>
      <c r="N51" s="56">
        <v>110</v>
      </c>
      <c r="O51" s="32">
        <v>4105</v>
      </c>
      <c r="P51" s="34">
        <v>45407.672280092593</v>
      </c>
    </row>
    <row r="52" spans="2:26" x14ac:dyDescent="0.25">
      <c r="B52" s="48">
        <v>4</v>
      </c>
      <c r="C52" s="47" t="s">
        <v>72</v>
      </c>
      <c r="D52" s="48" t="s">
        <v>28</v>
      </c>
      <c r="E52" s="49">
        <v>1</v>
      </c>
      <c r="F52" s="50">
        <v>100</v>
      </c>
      <c r="G52" s="51">
        <v>100</v>
      </c>
      <c r="H52" s="58">
        <v>-1</v>
      </c>
      <c r="I52" s="53">
        <v>19</v>
      </c>
      <c r="J52" s="54">
        <v>125</v>
      </c>
      <c r="K52" s="54">
        <v>100</v>
      </c>
      <c r="L52" s="54">
        <v>88</v>
      </c>
      <c r="M52" s="55">
        <v>1</v>
      </c>
      <c r="N52" s="56">
        <v>110</v>
      </c>
      <c r="O52" s="32">
        <v>4105</v>
      </c>
      <c r="P52" s="34">
        <v>45407.672280092593</v>
      </c>
    </row>
    <row r="53" spans="2:26" x14ac:dyDescent="0.25">
      <c r="B53" s="48">
        <v>5</v>
      </c>
      <c r="C53" s="47" t="s">
        <v>99</v>
      </c>
      <c r="D53" s="48" t="s">
        <v>28</v>
      </c>
      <c r="E53" s="49">
        <v>1</v>
      </c>
      <c r="F53" s="50">
        <v>400</v>
      </c>
      <c r="G53" s="51">
        <v>400</v>
      </c>
      <c r="H53" s="58">
        <v>-1</v>
      </c>
      <c r="I53" s="53">
        <v>167</v>
      </c>
      <c r="J53" s="54">
        <v>462</v>
      </c>
      <c r="K53" s="54">
        <v>370</v>
      </c>
      <c r="L53" s="54">
        <v>323</v>
      </c>
      <c r="M53" s="55">
        <v>1</v>
      </c>
      <c r="N53" s="56">
        <v>110</v>
      </c>
      <c r="O53" s="32">
        <v>4105</v>
      </c>
      <c r="P53" s="34">
        <v>45407.672280092593</v>
      </c>
    </row>
    <row r="54" spans="2:26" x14ac:dyDescent="0.25">
      <c r="B54" s="48">
        <v>6</v>
      </c>
      <c r="C54" s="47" t="s">
        <v>10</v>
      </c>
      <c r="D54" s="48" t="s">
        <v>5</v>
      </c>
      <c r="E54" s="49">
        <v>1</v>
      </c>
      <c r="F54" s="50">
        <v>250</v>
      </c>
      <c r="G54" s="51">
        <v>250</v>
      </c>
      <c r="H54" s="58">
        <v>-1</v>
      </c>
      <c r="I54" s="53">
        <v>4</v>
      </c>
      <c r="J54" s="54">
        <v>248</v>
      </c>
      <c r="K54" s="54">
        <v>198</v>
      </c>
      <c r="L54" s="54">
        <v>188</v>
      </c>
      <c r="M54" s="55">
        <v>1</v>
      </c>
      <c r="N54" s="56">
        <v>110</v>
      </c>
      <c r="O54" s="32">
        <v>4105</v>
      </c>
      <c r="P54" s="34">
        <v>45407.672280092593</v>
      </c>
    </row>
    <row r="55" spans="2:26" x14ac:dyDescent="0.25">
      <c r="B55" s="48">
        <v>7</v>
      </c>
      <c r="C55" s="47" t="s">
        <v>213</v>
      </c>
      <c r="D55" s="48" t="s">
        <v>28</v>
      </c>
      <c r="E55" s="49">
        <v>1</v>
      </c>
      <c r="F55" s="50">
        <v>1000</v>
      </c>
      <c r="G55" s="51">
        <v>1000</v>
      </c>
      <c r="H55" s="58">
        <v>-1</v>
      </c>
      <c r="I55" s="53">
        <v>169</v>
      </c>
      <c r="J55" s="54">
        <v>462</v>
      </c>
      <c r="K55" s="54">
        <v>370</v>
      </c>
      <c r="L55" s="54">
        <v>323</v>
      </c>
      <c r="M55" s="55">
        <v>1</v>
      </c>
      <c r="N55" s="56">
        <v>110</v>
      </c>
      <c r="O55" s="32">
        <v>4105</v>
      </c>
      <c r="P55" s="34">
        <v>45407.672280092593</v>
      </c>
    </row>
    <row r="56" spans="2:26" ht="15.75" x14ac:dyDescent="0.25">
      <c r="B56" s="59"/>
      <c r="C56" s="60"/>
      <c r="D56" s="60"/>
      <c r="E56" s="61" t="s">
        <v>735</v>
      </c>
      <c r="F56" s="62">
        <v>2900</v>
      </c>
      <c r="G56" s="62"/>
      <c r="H56" s="30"/>
      <c r="I56" s="30"/>
      <c r="J56" s="30"/>
      <c r="K56" s="30"/>
      <c r="L56" s="30"/>
      <c r="M56" s="63"/>
      <c r="N56" s="64"/>
      <c r="O56" s="32">
        <v>4105</v>
      </c>
      <c r="P56" s="34">
        <v>45407.672280092593</v>
      </c>
    </row>
    <row r="57" spans="2:26" x14ac:dyDescent="0.25">
      <c r="C57" s="25" t="s">
        <v>407</v>
      </c>
      <c r="D57" s="26" t="s">
        <v>723</v>
      </c>
      <c r="E57" s="27"/>
      <c r="F57" s="28">
        <v>4104</v>
      </c>
      <c r="G57" s="29"/>
      <c r="H57" s="30"/>
      <c r="I57" s="30"/>
      <c r="J57" s="31" t="s">
        <v>724</v>
      </c>
      <c r="K57" s="32" t="s">
        <v>725</v>
      </c>
      <c r="L57" s="32" t="s">
        <v>725</v>
      </c>
      <c r="M57" s="33" t="s">
        <v>726</v>
      </c>
      <c r="N57" s="33" t="s">
        <v>727</v>
      </c>
      <c r="O57" s="32">
        <v>4104</v>
      </c>
      <c r="P57" s="34">
        <v>45406.453101851854</v>
      </c>
    </row>
    <row r="58" spans="2:26" x14ac:dyDescent="0.25">
      <c r="E58" s="35"/>
      <c r="F58" s="36">
        <v>45406.453101851854</v>
      </c>
      <c r="G58" s="37"/>
      <c r="H58" s="30"/>
      <c r="I58" s="30"/>
      <c r="J58" s="31" t="s">
        <v>728</v>
      </c>
      <c r="K58" s="38">
        <v>0</v>
      </c>
      <c r="L58" s="39"/>
      <c r="M58" s="40">
        <v>1</v>
      </c>
      <c r="N58" s="41">
        <v>110</v>
      </c>
      <c r="O58" s="32">
        <v>4104</v>
      </c>
      <c r="P58" s="34">
        <v>45406.453101851854</v>
      </c>
    </row>
    <row r="59" spans="2:26" x14ac:dyDescent="0.25">
      <c r="B59" s="42"/>
      <c r="C59" s="43" t="s">
        <v>729</v>
      </c>
      <c r="D59" s="43" t="s">
        <v>730</v>
      </c>
      <c r="E59" s="43" t="s">
        <v>731</v>
      </c>
      <c r="F59" s="43" t="s">
        <v>728</v>
      </c>
      <c r="G59" s="43" t="s">
        <v>732</v>
      </c>
      <c r="H59" s="44" t="s">
        <v>733</v>
      </c>
      <c r="I59" s="44" t="s">
        <v>734</v>
      </c>
      <c r="J59" s="44">
        <v>0</v>
      </c>
      <c r="K59" s="44">
        <v>1</v>
      </c>
      <c r="L59" s="44">
        <v>2</v>
      </c>
      <c r="M59" s="33"/>
      <c r="N59" s="45"/>
      <c r="O59" s="32">
        <v>4104</v>
      </c>
      <c r="P59" s="34">
        <v>45406.453101851854</v>
      </c>
    </row>
    <row r="60" spans="2:26" x14ac:dyDescent="0.25">
      <c r="B60" s="46">
        <v>1</v>
      </c>
      <c r="C60" s="47" t="s">
        <v>213</v>
      </c>
      <c r="D60" s="48" t="s">
        <v>28</v>
      </c>
      <c r="E60" s="49">
        <v>1</v>
      </c>
      <c r="F60" s="50">
        <v>500</v>
      </c>
      <c r="G60" s="51">
        <v>500</v>
      </c>
      <c r="H60" s="52">
        <v>-1</v>
      </c>
      <c r="I60" s="53">
        <v>169</v>
      </c>
      <c r="J60" s="54">
        <v>462</v>
      </c>
      <c r="K60" s="54">
        <v>370</v>
      </c>
      <c r="L60" s="54">
        <v>323</v>
      </c>
      <c r="M60" s="55">
        <v>1</v>
      </c>
      <c r="N60" s="56">
        <v>110</v>
      </c>
      <c r="O60" s="32">
        <v>4104</v>
      </c>
      <c r="P60" s="34">
        <v>45406.453101851854</v>
      </c>
      <c r="R60" s="57"/>
      <c r="S60" s="57"/>
      <c r="T60" s="57"/>
      <c r="U60" s="57"/>
      <c r="V60" s="57"/>
      <c r="W60" s="57"/>
      <c r="X60" s="57"/>
      <c r="Y60" s="57"/>
      <c r="Z60" s="57"/>
    </row>
    <row r="61" spans="2:26" x14ac:dyDescent="0.25">
      <c r="B61" s="48">
        <v>2</v>
      </c>
      <c r="C61" s="47" t="s">
        <v>99</v>
      </c>
      <c r="D61" s="48" t="s">
        <v>28</v>
      </c>
      <c r="E61" s="49">
        <v>1</v>
      </c>
      <c r="F61" s="50">
        <v>400</v>
      </c>
      <c r="G61" s="51">
        <v>400</v>
      </c>
      <c r="H61" s="58">
        <v>-1</v>
      </c>
      <c r="I61" s="53">
        <v>167</v>
      </c>
      <c r="J61" s="54">
        <v>462</v>
      </c>
      <c r="K61" s="54">
        <v>370</v>
      </c>
      <c r="L61" s="54">
        <v>323</v>
      </c>
      <c r="M61" s="55">
        <v>1</v>
      </c>
      <c r="N61" s="56">
        <v>110</v>
      </c>
      <c r="O61" s="32">
        <v>4104</v>
      </c>
      <c r="P61" s="34">
        <v>45406.453101851854</v>
      </c>
    </row>
    <row r="62" spans="2:26" x14ac:dyDescent="0.25">
      <c r="B62" s="48">
        <v>3</v>
      </c>
      <c r="C62" s="47" t="s">
        <v>215</v>
      </c>
      <c r="D62" s="48" t="s">
        <v>28</v>
      </c>
      <c r="E62" s="49">
        <v>1</v>
      </c>
      <c r="F62" s="50">
        <v>200</v>
      </c>
      <c r="G62" s="51">
        <v>200</v>
      </c>
      <c r="H62" s="58">
        <v>-1</v>
      </c>
      <c r="I62" s="53">
        <v>187</v>
      </c>
      <c r="J62" s="54">
        <v>462</v>
      </c>
      <c r="K62" s="54">
        <v>370</v>
      </c>
      <c r="L62" s="54">
        <v>323</v>
      </c>
      <c r="M62" s="55">
        <v>1</v>
      </c>
      <c r="N62" s="56">
        <v>110</v>
      </c>
      <c r="O62" s="32">
        <v>4104</v>
      </c>
      <c r="P62" s="34">
        <v>45406.453101851854</v>
      </c>
    </row>
    <row r="63" spans="2:26" x14ac:dyDescent="0.25">
      <c r="B63" s="48">
        <v>4</v>
      </c>
      <c r="C63" s="47" t="s">
        <v>10</v>
      </c>
      <c r="D63" s="48" t="s">
        <v>5</v>
      </c>
      <c r="E63" s="49">
        <v>1</v>
      </c>
      <c r="F63" s="50">
        <v>250</v>
      </c>
      <c r="G63" s="51">
        <v>250</v>
      </c>
      <c r="H63" s="58">
        <v>-1</v>
      </c>
      <c r="I63" s="53">
        <v>4</v>
      </c>
      <c r="J63" s="54">
        <v>248</v>
      </c>
      <c r="K63" s="54">
        <v>198</v>
      </c>
      <c r="L63" s="54">
        <v>188</v>
      </c>
      <c r="M63" s="55">
        <v>1</v>
      </c>
      <c r="N63" s="56">
        <v>110</v>
      </c>
      <c r="O63" s="32">
        <v>4104</v>
      </c>
      <c r="P63" s="34">
        <v>45406.453101851854</v>
      </c>
    </row>
    <row r="64" spans="2:26" ht="15.75" x14ac:dyDescent="0.25">
      <c r="B64" s="59"/>
      <c r="C64" s="60"/>
      <c r="D64" s="60"/>
      <c r="E64" s="61" t="s">
        <v>735</v>
      </c>
      <c r="F64" s="62">
        <v>1350</v>
      </c>
      <c r="G64" s="62"/>
      <c r="H64" s="30"/>
      <c r="I64" s="30"/>
      <c r="J64" s="30"/>
      <c r="K64" s="30"/>
      <c r="L64" s="30"/>
      <c r="M64" s="63"/>
      <c r="N64" s="64"/>
      <c r="O64" s="32">
        <v>4104</v>
      </c>
      <c r="P64" s="34">
        <v>45406.453101851854</v>
      </c>
    </row>
    <row r="65" spans="2:26" x14ac:dyDescent="0.25">
      <c r="C65" s="25" t="s">
        <v>459</v>
      </c>
      <c r="D65" s="26" t="s">
        <v>723</v>
      </c>
      <c r="E65" s="27"/>
      <c r="F65" s="28">
        <v>4103</v>
      </c>
      <c r="G65" s="29"/>
      <c r="H65" s="30"/>
      <c r="I65" s="30"/>
      <c r="J65" s="31" t="s">
        <v>724</v>
      </c>
      <c r="K65" s="32" t="s">
        <v>725</v>
      </c>
      <c r="L65" s="32" t="s">
        <v>725</v>
      </c>
      <c r="M65" s="33" t="s">
        <v>726</v>
      </c>
      <c r="N65" s="33" t="s">
        <v>727</v>
      </c>
      <c r="O65" s="32">
        <v>4103</v>
      </c>
      <c r="P65" s="34">
        <v>45406.453101851854</v>
      </c>
    </row>
    <row r="66" spans="2:26" x14ac:dyDescent="0.25">
      <c r="E66" s="35"/>
      <c r="F66" s="36">
        <v>45406.453101851854</v>
      </c>
      <c r="G66" s="37"/>
      <c r="H66" s="30"/>
      <c r="I66" s="30"/>
      <c r="J66" s="31" t="s">
        <v>728</v>
      </c>
      <c r="K66" s="38">
        <v>0</v>
      </c>
      <c r="L66" s="39"/>
      <c r="M66" s="40">
        <v>18</v>
      </c>
      <c r="N66" s="41">
        <v>110</v>
      </c>
      <c r="O66" s="32">
        <v>4103</v>
      </c>
      <c r="P66" s="34">
        <v>45406.453101851854</v>
      </c>
    </row>
    <row r="67" spans="2:26" x14ac:dyDescent="0.25">
      <c r="B67" s="42"/>
      <c r="C67" s="43" t="s">
        <v>729</v>
      </c>
      <c r="D67" s="43" t="s">
        <v>730</v>
      </c>
      <c r="E67" s="43" t="s">
        <v>731</v>
      </c>
      <c r="F67" s="43" t="s">
        <v>728</v>
      </c>
      <c r="G67" s="43" t="s">
        <v>732</v>
      </c>
      <c r="H67" s="44" t="s">
        <v>733</v>
      </c>
      <c r="I67" s="44" t="s">
        <v>734</v>
      </c>
      <c r="J67" s="44">
        <v>0</v>
      </c>
      <c r="K67" s="44">
        <v>1</v>
      </c>
      <c r="L67" s="44">
        <v>2</v>
      </c>
      <c r="M67" s="33"/>
      <c r="N67" s="45"/>
      <c r="O67" s="32">
        <v>4103</v>
      </c>
      <c r="P67" s="34">
        <v>45406.453101851854</v>
      </c>
    </row>
    <row r="68" spans="2:26" x14ac:dyDescent="0.25">
      <c r="B68" s="46">
        <v>1</v>
      </c>
      <c r="C68" s="47" t="s">
        <v>355</v>
      </c>
      <c r="D68" s="48" t="s">
        <v>28</v>
      </c>
      <c r="E68" s="49">
        <v>24</v>
      </c>
      <c r="F68" s="50">
        <v>200</v>
      </c>
      <c r="G68" s="51">
        <v>4800</v>
      </c>
      <c r="H68" s="52">
        <v>-24</v>
      </c>
      <c r="I68" s="53">
        <v>127</v>
      </c>
      <c r="J68" s="54">
        <v>180</v>
      </c>
      <c r="K68" s="54">
        <v>144</v>
      </c>
      <c r="L68" s="54">
        <v>126</v>
      </c>
      <c r="M68" s="55">
        <v>18</v>
      </c>
      <c r="N68" s="56">
        <v>110</v>
      </c>
      <c r="O68" s="32">
        <v>4103</v>
      </c>
      <c r="P68" s="34">
        <v>45406.453101851854</v>
      </c>
      <c r="R68" s="57"/>
      <c r="S68" s="57"/>
      <c r="T68" s="57"/>
      <c r="U68" s="57"/>
      <c r="V68" s="57"/>
      <c r="W68" s="57"/>
      <c r="X68" s="57"/>
      <c r="Y68" s="57"/>
      <c r="Z68" s="57"/>
    </row>
    <row r="69" spans="2:26" x14ac:dyDescent="0.25">
      <c r="B69" s="48">
        <v>2</v>
      </c>
      <c r="C69" s="47" t="s">
        <v>27</v>
      </c>
      <c r="D69" s="48" t="s">
        <v>28</v>
      </c>
      <c r="E69" s="49">
        <v>1</v>
      </c>
      <c r="F69" s="50">
        <v>450</v>
      </c>
      <c r="G69" s="51">
        <v>450</v>
      </c>
      <c r="H69" s="58">
        <v>-1</v>
      </c>
      <c r="I69" s="53">
        <v>323</v>
      </c>
      <c r="J69" s="54">
        <v>427</v>
      </c>
      <c r="K69" s="54">
        <v>474</v>
      </c>
      <c r="L69" s="54">
        <v>451</v>
      </c>
      <c r="M69" s="55">
        <v>18</v>
      </c>
      <c r="N69" s="56">
        <v>110</v>
      </c>
      <c r="O69" s="32">
        <v>4103</v>
      </c>
      <c r="P69" s="34">
        <v>45406.453101851854</v>
      </c>
    </row>
    <row r="70" spans="2:26" x14ac:dyDescent="0.25">
      <c r="B70" s="48">
        <v>3</v>
      </c>
      <c r="C70" s="47" t="s">
        <v>45</v>
      </c>
      <c r="D70" s="48" t="s">
        <v>28</v>
      </c>
      <c r="E70" s="49">
        <v>4</v>
      </c>
      <c r="F70" s="50">
        <v>500</v>
      </c>
      <c r="G70" s="51">
        <v>2000</v>
      </c>
      <c r="H70" s="58">
        <v>-4</v>
      </c>
      <c r="I70" s="53">
        <v>327</v>
      </c>
      <c r="J70" s="54">
        <v>484</v>
      </c>
      <c r="K70" s="54">
        <v>538</v>
      </c>
      <c r="L70" s="54">
        <v>511</v>
      </c>
      <c r="M70" s="55">
        <v>18</v>
      </c>
      <c r="N70" s="56">
        <v>110</v>
      </c>
      <c r="O70" s="32">
        <v>4103</v>
      </c>
      <c r="P70" s="34">
        <v>45406.453101851854</v>
      </c>
    </row>
    <row r="71" spans="2:26" x14ac:dyDescent="0.25">
      <c r="B71" s="48">
        <v>4</v>
      </c>
      <c r="C71" s="47" t="s">
        <v>215</v>
      </c>
      <c r="D71" s="48" t="s">
        <v>28</v>
      </c>
      <c r="E71" s="49">
        <v>1</v>
      </c>
      <c r="F71" s="50">
        <v>80</v>
      </c>
      <c r="G71" s="51">
        <v>80</v>
      </c>
      <c r="H71" s="58">
        <v>-1</v>
      </c>
      <c r="I71" s="53">
        <v>187</v>
      </c>
      <c r="J71" s="54">
        <v>462</v>
      </c>
      <c r="K71" s="54">
        <v>370</v>
      </c>
      <c r="L71" s="54">
        <v>323</v>
      </c>
      <c r="M71" s="55">
        <v>18</v>
      </c>
      <c r="N71" s="56">
        <v>110</v>
      </c>
      <c r="O71" s="32">
        <v>4103</v>
      </c>
      <c r="P71" s="34">
        <v>45406.453101851854</v>
      </c>
    </row>
    <row r="72" spans="2:26" ht="15.75" x14ac:dyDescent="0.25">
      <c r="B72" s="59"/>
      <c r="C72" s="60"/>
      <c r="D72" s="60"/>
      <c r="E72" s="61" t="s">
        <v>735</v>
      </c>
      <c r="F72" s="62">
        <v>7330</v>
      </c>
      <c r="G72" s="62"/>
      <c r="H72" s="30"/>
      <c r="I72" s="30"/>
      <c r="J72" s="30"/>
      <c r="K72" s="30"/>
      <c r="L72" s="30"/>
      <c r="M72" s="63"/>
      <c r="N72" s="64"/>
      <c r="O72" s="32">
        <v>4103</v>
      </c>
      <c r="P72" s="34">
        <v>45406.453101851854</v>
      </c>
    </row>
    <row r="73" spans="2:26" x14ac:dyDescent="0.25">
      <c r="C73" s="25" t="s">
        <v>407</v>
      </c>
      <c r="D73" s="26" t="s">
        <v>723</v>
      </c>
      <c r="E73" s="27"/>
      <c r="F73" s="28">
        <v>4102</v>
      </c>
      <c r="G73" s="29"/>
      <c r="H73" s="30"/>
      <c r="I73" s="30"/>
      <c r="J73" s="31" t="s">
        <v>724</v>
      </c>
      <c r="K73" s="32" t="s">
        <v>725</v>
      </c>
      <c r="L73" s="32" t="s">
        <v>725</v>
      </c>
      <c r="M73" s="33" t="s">
        <v>726</v>
      </c>
      <c r="N73" s="33" t="s">
        <v>727</v>
      </c>
      <c r="O73" s="32">
        <v>4102</v>
      </c>
      <c r="P73" s="34">
        <v>45405.452557870369</v>
      </c>
    </row>
    <row r="74" spans="2:26" x14ac:dyDescent="0.25">
      <c r="E74" s="35"/>
      <c r="F74" s="36">
        <v>45405.452557870369</v>
      </c>
      <c r="G74" s="37"/>
      <c r="H74" s="30"/>
      <c r="I74" s="30"/>
      <c r="J74" s="31" t="s">
        <v>728</v>
      </c>
      <c r="K74" s="38">
        <v>0</v>
      </c>
      <c r="L74" s="39"/>
      <c r="M74" s="40">
        <v>1</v>
      </c>
      <c r="N74" s="41">
        <v>110</v>
      </c>
      <c r="O74" s="32">
        <v>4102</v>
      </c>
      <c r="P74" s="34">
        <v>45405.452557870369</v>
      </c>
    </row>
    <row r="75" spans="2:26" x14ac:dyDescent="0.25">
      <c r="B75" s="42"/>
      <c r="C75" s="43" t="s">
        <v>729</v>
      </c>
      <c r="D75" s="43" t="s">
        <v>730</v>
      </c>
      <c r="E75" s="43" t="s">
        <v>731</v>
      </c>
      <c r="F75" s="43" t="s">
        <v>728</v>
      </c>
      <c r="G75" s="43" t="s">
        <v>732</v>
      </c>
      <c r="H75" s="44" t="s">
        <v>733</v>
      </c>
      <c r="I75" s="44" t="s">
        <v>734</v>
      </c>
      <c r="J75" s="44">
        <v>0</v>
      </c>
      <c r="K75" s="44">
        <v>1</v>
      </c>
      <c r="L75" s="44">
        <v>2</v>
      </c>
      <c r="M75" s="33"/>
      <c r="N75" s="45"/>
      <c r="O75" s="32">
        <v>4102</v>
      </c>
      <c r="P75" s="34">
        <v>45405.452557870369</v>
      </c>
    </row>
    <row r="76" spans="2:26" x14ac:dyDescent="0.25">
      <c r="B76" s="46">
        <v>1</v>
      </c>
      <c r="C76" s="47" t="s">
        <v>29</v>
      </c>
      <c r="D76" s="48" t="s">
        <v>5</v>
      </c>
      <c r="E76" s="49">
        <v>2</v>
      </c>
      <c r="F76" s="50">
        <v>450</v>
      </c>
      <c r="G76" s="51">
        <v>900</v>
      </c>
      <c r="H76" s="52">
        <v>-2</v>
      </c>
      <c r="I76" s="53">
        <v>160</v>
      </c>
      <c r="J76" s="54">
        <v>640</v>
      </c>
      <c r="K76" s="54">
        <v>512</v>
      </c>
      <c r="L76" s="54">
        <v>487</v>
      </c>
      <c r="M76" s="55">
        <v>1</v>
      </c>
      <c r="N76" s="56">
        <v>110</v>
      </c>
      <c r="O76" s="32">
        <v>4102</v>
      </c>
      <c r="P76" s="34">
        <v>45405.452557870369</v>
      </c>
      <c r="R76" s="57"/>
      <c r="S76" s="57"/>
      <c r="T76" s="57"/>
      <c r="U76" s="57"/>
      <c r="V76" s="57"/>
      <c r="W76" s="57"/>
      <c r="X76" s="57"/>
      <c r="Y76" s="57"/>
      <c r="Z76" s="57"/>
    </row>
    <row r="77" spans="2:26" x14ac:dyDescent="0.25">
      <c r="B77" s="48">
        <v>2</v>
      </c>
      <c r="C77" s="47" t="s">
        <v>213</v>
      </c>
      <c r="D77" s="48" t="s">
        <v>28</v>
      </c>
      <c r="E77" s="49">
        <v>1</v>
      </c>
      <c r="F77" s="50">
        <v>500</v>
      </c>
      <c r="G77" s="51">
        <v>500</v>
      </c>
      <c r="H77" s="58">
        <v>-1</v>
      </c>
      <c r="I77" s="53">
        <v>169</v>
      </c>
      <c r="J77" s="54">
        <v>462</v>
      </c>
      <c r="K77" s="54">
        <v>370</v>
      </c>
      <c r="L77" s="54">
        <v>323</v>
      </c>
      <c r="M77" s="55">
        <v>1</v>
      </c>
      <c r="N77" s="56">
        <v>110</v>
      </c>
      <c r="O77" s="32">
        <v>4102</v>
      </c>
      <c r="P77" s="34">
        <v>45405.452557870369</v>
      </c>
    </row>
    <row r="78" spans="2:26" x14ac:dyDescent="0.25">
      <c r="B78" s="48">
        <v>3</v>
      </c>
      <c r="C78" s="47" t="s">
        <v>215</v>
      </c>
      <c r="D78" s="48" t="s">
        <v>28</v>
      </c>
      <c r="E78" s="49">
        <v>2</v>
      </c>
      <c r="F78" s="50">
        <v>250</v>
      </c>
      <c r="G78" s="51">
        <v>500</v>
      </c>
      <c r="H78" s="58">
        <v>-2</v>
      </c>
      <c r="I78" s="53">
        <v>187</v>
      </c>
      <c r="J78" s="54">
        <v>462</v>
      </c>
      <c r="K78" s="54">
        <v>370</v>
      </c>
      <c r="L78" s="54">
        <v>323</v>
      </c>
      <c r="M78" s="55">
        <v>1</v>
      </c>
      <c r="N78" s="56">
        <v>110</v>
      </c>
      <c r="O78" s="32">
        <v>4102</v>
      </c>
      <c r="P78" s="34">
        <v>45405.452557870369</v>
      </c>
    </row>
    <row r="79" spans="2:26" x14ac:dyDescent="0.25">
      <c r="B79" s="48">
        <v>4</v>
      </c>
      <c r="C79" s="47" t="s">
        <v>99</v>
      </c>
      <c r="D79" s="48" t="s">
        <v>28</v>
      </c>
      <c r="E79" s="49">
        <v>5</v>
      </c>
      <c r="F79" s="50">
        <v>400</v>
      </c>
      <c r="G79" s="51">
        <v>2000</v>
      </c>
      <c r="H79" s="58">
        <v>-5</v>
      </c>
      <c r="I79" s="53">
        <v>167</v>
      </c>
      <c r="J79" s="54">
        <v>462</v>
      </c>
      <c r="K79" s="54">
        <v>370</v>
      </c>
      <c r="L79" s="54">
        <v>323</v>
      </c>
      <c r="M79" s="55">
        <v>1</v>
      </c>
      <c r="N79" s="56">
        <v>110</v>
      </c>
      <c r="O79" s="32">
        <v>4102</v>
      </c>
      <c r="P79" s="34">
        <v>45405.452557870369</v>
      </c>
    </row>
    <row r="80" spans="2:26" x14ac:dyDescent="0.25">
      <c r="B80" s="48">
        <v>5</v>
      </c>
      <c r="C80" s="47" t="s">
        <v>43</v>
      </c>
      <c r="D80" s="48" t="s">
        <v>28</v>
      </c>
      <c r="E80" s="49">
        <v>1</v>
      </c>
      <c r="F80" s="50">
        <v>200</v>
      </c>
      <c r="G80" s="51">
        <v>200</v>
      </c>
      <c r="H80" s="58">
        <v>-1</v>
      </c>
      <c r="I80" s="53">
        <v>27</v>
      </c>
      <c r="J80" s="54">
        <v>191</v>
      </c>
      <c r="K80" s="54">
        <v>153</v>
      </c>
      <c r="L80" s="54">
        <v>145</v>
      </c>
      <c r="M80" s="55">
        <v>1</v>
      </c>
      <c r="N80" s="56">
        <v>110</v>
      </c>
      <c r="O80" s="32">
        <v>4102</v>
      </c>
      <c r="P80" s="34">
        <v>45405.452557870369</v>
      </c>
    </row>
    <row r="81" spans="2:26" x14ac:dyDescent="0.25">
      <c r="B81" s="48">
        <v>6</v>
      </c>
      <c r="C81" s="47" t="s">
        <v>355</v>
      </c>
      <c r="D81" s="48" t="s">
        <v>28</v>
      </c>
      <c r="E81" s="49">
        <v>2</v>
      </c>
      <c r="F81" s="50">
        <v>250</v>
      </c>
      <c r="G81" s="51">
        <v>500</v>
      </c>
      <c r="H81" s="58">
        <v>-2</v>
      </c>
      <c r="I81" s="53">
        <v>127</v>
      </c>
      <c r="J81" s="54">
        <v>180</v>
      </c>
      <c r="K81" s="54">
        <v>144</v>
      </c>
      <c r="L81" s="54">
        <v>126</v>
      </c>
      <c r="M81" s="55">
        <v>1</v>
      </c>
      <c r="N81" s="56">
        <v>110</v>
      </c>
      <c r="O81" s="32">
        <v>4102</v>
      </c>
      <c r="P81" s="34">
        <v>45405.452557870369</v>
      </c>
    </row>
    <row r="82" spans="2:26" x14ac:dyDescent="0.25">
      <c r="B82" s="48">
        <v>7</v>
      </c>
      <c r="C82" s="47" t="s">
        <v>44</v>
      </c>
      <c r="D82" s="48" t="s">
        <v>28</v>
      </c>
      <c r="E82" s="49">
        <v>1</v>
      </c>
      <c r="F82" s="50">
        <v>400</v>
      </c>
      <c r="G82" s="51">
        <v>400</v>
      </c>
      <c r="H82" s="58">
        <v>-1</v>
      </c>
      <c r="I82" s="53">
        <v>326</v>
      </c>
      <c r="J82" s="54">
        <v>484</v>
      </c>
      <c r="K82" s="54">
        <v>538</v>
      </c>
      <c r="L82" s="54">
        <v>511</v>
      </c>
      <c r="M82" s="55">
        <v>1</v>
      </c>
      <c r="N82" s="56">
        <v>110</v>
      </c>
      <c r="O82" s="32">
        <v>4102</v>
      </c>
      <c r="P82" s="34">
        <v>45405.452557870369</v>
      </c>
    </row>
    <row r="83" spans="2:26" ht="15.75" x14ac:dyDescent="0.25">
      <c r="B83" s="59"/>
      <c r="C83" s="60"/>
      <c r="D83" s="60"/>
      <c r="E83" s="61" t="s">
        <v>735</v>
      </c>
      <c r="F83" s="62">
        <v>5000</v>
      </c>
      <c r="G83" s="62"/>
      <c r="H83" s="30"/>
      <c r="I83" s="30"/>
      <c r="J83" s="30"/>
      <c r="K83" s="30"/>
      <c r="L83" s="30"/>
      <c r="M83" s="63"/>
      <c r="N83" s="64"/>
      <c r="O83" s="32">
        <v>4102</v>
      </c>
      <c r="P83" s="34">
        <v>45405.452557870369</v>
      </c>
    </row>
    <row r="84" spans="2:26" x14ac:dyDescent="0.25">
      <c r="C84" s="25" t="s">
        <v>407</v>
      </c>
      <c r="D84" s="26" t="s">
        <v>723</v>
      </c>
      <c r="E84" s="27"/>
      <c r="F84" s="28">
        <v>4101</v>
      </c>
      <c r="G84" s="29"/>
      <c r="H84" s="30"/>
      <c r="I84" s="30"/>
      <c r="J84" s="31" t="s">
        <v>724</v>
      </c>
      <c r="K84" s="32" t="s">
        <v>725</v>
      </c>
      <c r="L84" s="32" t="s">
        <v>725</v>
      </c>
      <c r="M84" s="33" t="s">
        <v>726</v>
      </c>
      <c r="N84" s="33" t="s">
        <v>727</v>
      </c>
      <c r="O84" s="32">
        <v>4101</v>
      </c>
      <c r="P84" s="34">
        <v>45403.682870370372</v>
      </c>
    </row>
    <row r="85" spans="2:26" x14ac:dyDescent="0.25">
      <c r="E85" s="35"/>
      <c r="F85" s="36">
        <v>45403.682870370372</v>
      </c>
      <c r="G85" s="37"/>
      <c r="H85" s="30"/>
      <c r="I85" s="30"/>
      <c r="J85" s="31" t="s">
        <v>728</v>
      </c>
      <c r="K85" s="38">
        <v>0</v>
      </c>
      <c r="L85" s="39"/>
      <c r="M85" s="40">
        <v>1</v>
      </c>
      <c r="N85" s="41">
        <v>110</v>
      </c>
      <c r="O85" s="32">
        <v>4101</v>
      </c>
      <c r="P85" s="34">
        <v>45403.682870370372</v>
      </c>
    </row>
    <row r="86" spans="2:26" x14ac:dyDescent="0.25">
      <c r="B86" s="42"/>
      <c r="C86" s="43" t="s">
        <v>729</v>
      </c>
      <c r="D86" s="43" t="s">
        <v>730</v>
      </c>
      <c r="E86" s="43" t="s">
        <v>731</v>
      </c>
      <c r="F86" s="43" t="s">
        <v>728</v>
      </c>
      <c r="G86" s="43" t="s">
        <v>732</v>
      </c>
      <c r="H86" s="44" t="s">
        <v>733</v>
      </c>
      <c r="I86" s="44" t="s">
        <v>734</v>
      </c>
      <c r="J86" s="44">
        <v>0</v>
      </c>
      <c r="K86" s="44">
        <v>1</v>
      </c>
      <c r="L86" s="44">
        <v>2</v>
      </c>
      <c r="M86" s="33"/>
      <c r="N86" s="45"/>
      <c r="O86" s="32">
        <v>4101</v>
      </c>
      <c r="P86" s="34">
        <v>45403.682870370372</v>
      </c>
    </row>
    <row r="87" spans="2:26" x14ac:dyDescent="0.25">
      <c r="B87" s="46">
        <v>1</v>
      </c>
      <c r="C87" s="47" t="s">
        <v>99</v>
      </c>
      <c r="D87" s="48" t="s">
        <v>28</v>
      </c>
      <c r="E87" s="49">
        <v>4</v>
      </c>
      <c r="F87" s="50">
        <v>400</v>
      </c>
      <c r="G87" s="51">
        <v>1600</v>
      </c>
      <c r="H87" s="52">
        <v>-4</v>
      </c>
      <c r="I87" s="53">
        <v>167</v>
      </c>
      <c r="J87" s="54">
        <v>462</v>
      </c>
      <c r="K87" s="54">
        <v>370</v>
      </c>
      <c r="L87" s="54">
        <v>323</v>
      </c>
      <c r="M87" s="55">
        <v>1</v>
      </c>
      <c r="N87" s="56">
        <v>110</v>
      </c>
      <c r="O87" s="32">
        <v>4101</v>
      </c>
      <c r="P87" s="34">
        <v>45403.682870370372</v>
      </c>
      <c r="R87" s="57"/>
      <c r="S87" s="57"/>
      <c r="T87" s="57"/>
      <c r="U87" s="57"/>
      <c r="V87" s="57"/>
      <c r="W87" s="57"/>
      <c r="X87" s="57"/>
      <c r="Y87" s="57"/>
      <c r="Z87" s="57"/>
    </row>
    <row r="88" spans="2:26" x14ac:dyDescent="0.25">
      <c r="B88" s="48">
        <v>2</v>
      </c>
      <c r="C88" s="47" t="s">
        <v>318</v>
      </c>
      <c r="D88" s="48" t="s">
        <v>28</v>
      </c>
      <c r="E88" s="49">
        <v>5</v>
      </c>
      <c r="F88" s="50">
        <v>150</v>
      </c>
      <c r="G88" s="51">
        <v>750</v>
      </c>
      <c r="H88" s="58">
        <v>-5</v>
      </c>
      <c r="I88" s="53">
        <v>116</v>
      </c>
      <c r="J88" s="54">
        <v>163</v>
      </c>
      <c r="K88" s="54">
        <v>130</v>
      </c>
      <c r="L88" s="54">
        <v>114</v>
      </c>
      <c r="M88" s="55">
        <v>1</v>
      </c>
      <c r="N88" s="56">
        <v>110</v>
      </c>
      <c r="O88" s="32">
        <v>4101</v>
      </c>
      <c r="P88" s="34">
        <v>45403.682870370372</v>
      </c>
    </row>
    <row r="89" spans="2:26" x14ac:dyDescent="0.25">
      <c r="B89" s="48">
        <v>3</v>
      </c>
      <c r="C89" s="47" t="s">
        <v>355</v>
      </c>
      <c r="D89" s="48" t="s">
        <v>28</v>
      </c>
      <c r="E89" s="49">
        <v>2</v>
      </c>
      <c r="F89" s="50">
        <v>250</v>
      </c>
      <c r="G89" s="51">
        <v>500</v>
      </c>
      <c r="H89" s="58">
        <v>-2</v>
      </c>
      <c r="I89" s="53">
        <v>127</v>
      </c>
      <c r="J89" s="54">
        <v>180</v>
      </c>
      <c r="K89" s="54">
        <v>144</v>
      </c>
      <c r="L89" s="54">
        <v>126</v>
      </c>
      <c r="M89" s="55">
        <v>1</v>
      </c>
      <c r="N89" s="56">
        <v>110</v>
      </c>
      <c r="O89" s="32">
        <v>4101</v>
      </c>
      <c r="P89" s="34">
        <v>45403.682870370372</v>
      </c>
    </row>
    <row r="90" spans="2:26" x14ac:dyDescent="0.25">
      <c r="B90" s="48">
        <v>4</v>
      </c>
      <c r="C90" s="47" t="s">
        <v>43</v>
      </c>
      <c r="D90" s="48" t="s">
        <v>28</v>
      </c>
      <c r="E90" s="49">
        <v>1</v>
      </c>
      <c r="F90" s="50">
        <v>200</v>
      </c>
      <c r="G90" s="51">
        <v>200</v>
      </c>
      <c r="H90" s="58">
        <v>-1</v>
      </c>
      <c r="I90" s="53">
        <v>27</v>
      </c>
      <c r="J90" s="54">
        <v>191</v>
      </c>
      <c r="K90" s="54">
        <v>153</v>
      </c>
      <c r="L90" s="54">
        <v>145</v>
      </c>
      <c r="M90" s="55">
        <v>1</v>
      </c>
      <c r="N90" s="56">
        <v>110</v>
      </c>
      <c r="O90" s="32">
        <v>4101</v>
      </c>
      <c r="P90" s="34">
        <v>45403.682870370372</v>
      </c>
    </row>
    <row r="91" spans="2:26" ht="15.75" x14ac:dyDescent="0.25">
      <c r="B91" s="59"/>
      <c r="C91" s="60"/>
      <c r="D91" s="60"/>
      <c r="E91" s="61" t="s">
        <v>735</v>
      </c>
      <c r="F91" s="62">
        <v>3050</v>
      </c>
      <c r="G91" s="62"/>
      <c r="H91" s="30"/>
      <c r="I91" s="30"/>
      <c r="J91" s="30"/>
      <c r="K91" s="30"/>
      <c r="L91" s="30"/>
      <c r="M91" s="63"/>
      <c r="N91" s="64"/>
      <c r="O91" s="32">
        <v>4101</v>
      </c>
      <c r="P91" s="34">
        <v>45403.682870370372</v>
      </c>
    </row>
    <row r="92" spans="2:26" x14ac:dyDescent="0.25">
      <c r="C92" s="25" t="s">
        <v>459</v>
      </c>
      <c r="D92" s="26" t="s">
        <v>723</v>
      </c>
      <c r="E92" s="27"/>
      <c r="F92" s="28">
        <v>4100</v>
      </c>
      <c r="G92" s="29"/>
      <c r="H92" s="30"/>
      <c r="I92" s="30"/>
      <c r="J92" s="31" t="s">
        <v>724</v>
      </c>
      <c r="K92" s="32" t="s">
        <v>725</v>
      </c>
      <c r="L92" s="32" t="s">
        <v>725</v>
      </c>
      <c r="M92" s="33" t="s">
        <v>726</v>
      </c>
      <c r="N92" s="33" t="s">
        <v>727</v>
      </c>
      <c r="O92" s="32">
        <v>4100</v>
      </c>
      <c r="P92" s="34">
        <v>45402.516793981478</v>
      </c>
    </row>
    <row r="93" spans="2:26" x14ac:dyDescent="0.25">
      <c r="E93" s="35"/>
      <c r="F93" s="36">
        <v>45402.516793981478</v>
      </c>
      <c r="G93" s="37"/>
      <c r="H93" s="30"/>
      <c r="I93" s="30"/>
      <c r="J93" s="31" t="s">
        <v>728</v>
      </c>
      <c r="K93" s="38">
        <v>0</v>
      </c>
      <c r="L93" s="39"/>
      <c r="M93" s="40">
        <v>18</v>
      </c>
      <c r="N93" s="41">
        <v>110</v>
      </c>
      <c r="O93" s="32">
        <v>4100</v>
      </c>
      <c r="P93" s="34">
        <v>45402.516793981478</v>
      </c>
    </row>
    <row r="94" spans="2:26" x14ac:dyDescent="0.25">
      <c r="B94" s="42"/>
      <c r="C94" s="43" t="s">
        <v>729</v>
      </c>
      <c r="D94" s="43" t="s">
        <v>730</v>
      </c>
      <c r="E94" s="43" t="s">
        <v>731</v>
      </c>
      <c r="F94" s="43" t="s">
        <v>728</v>
      </c>
      <c r="G94" s="43" t="s">
        <v>732</v>
      </c>
      <c r="H94" s="44" t="s">
        <v>733</v>
      </c>
      <c r="I94" s="44" t="s">
        <v>734</v>
      </c>
      <c r="J94" s="44">
        <v>0</v>
      </c>
      <c r="K94" s="44">
        <v>1</v>
      </c>
      <c r="L94" s="44">
        <v>2</v>
      </c>
      <c r="M94" s="33"/>
      <c r="N94" s="45"/>
      <c r="O94" s="32">
        <v>4100</v>
      </c>
      <c r="P94" s="34">
        <v>45402.516793981478</v>
      </c>
    </row>
    <row r="95" spans="2:26" x14ac:dyDescent="0.25">
      <c r="B95" s="46">
        <v>1</v>
      </c>
      <c r="C95" s="47" t="s">
        <v>355</v>
      </c>
      <c r="D95" s="48" t="s">
        <v>28</v>
      </c>
      <c r="E95" s="49">
        <v>10</v>
      </c>
      <c r="F95" s="50">
        <v>200</v>
      </c>
      <c r="G95" s="51">
        <v>2000</v>
      </c>
      <c r="H95" s="52">
        <v>-10</v>
      </c>
      <c r="I95" s="53">
        <v>127</v>
      </c>
      <c r="J95" s="54">
        <v>180</v>
      </c>
      <c r="K95" s="54">
        <v>144</v>
      </c>
      <c r="L95" s="54">
        <v>126</v>
      </c>
      <c r="M95" s="55">
        <v>18</v>
      </c>
      <c r="N95" s="56">
        <v>110</v>
      </c>
      <c r="O95" s="32">
        <v>4100</v>
      </c>
      <c r="P95" s="34">
        <v>45402.516793981478</v>
      </c>
      <c r="R95" s="57"/>
      <c r="S95" s="57"/>
      <c r="T95" s="57"/>
      <c r="U95" s="57"/>
      <c r="V95" s="57"/>
      <c r="W95" s="57"/>
      <c r="X95" s="57"/>
      <c r="Y95" s="57"/>
      <c r="Z95" s="57"/>
    </row>
    <row r="96" spans="2:26" ht="15.75" x14ac:dyDescent="0.25">
      <c r="B96" s="59"/>
      <c r="C96" s="60"/>
      <c r="D96" s="60"/>
      <c r="E96" s="61" t="s">
        <v>735</v>
      </c>
      <c r="F96" s="62">
        <v>2000</v>
      </c>
      <c r="G96" s="62"/>
      <c r="H96" s="30"/>
      <c r="I96" s="30"/>
      <c r="J96" s="30"/>
      <c r="K96" s="30"/>
      <c r="L96" s="30"/>
      <c r="M96" s="63"/>
      <c r="N96" s="64"/>
      <c r="O96" s="32">
        <v>4100</v>
      </c>
      <c r="P96" s="34">
        <v>45402.516793981478</v>
      </c>
    </row>
    <row r="97" spans="2:26" x14ac:dyDescent="0.25">
      <c r="C97" s="25" t="s">
        <v>407</v>
      </c>
      <c r="D97" s="26" t="s">
        <v>723</v>
      </c>
      <c r="E97" s="27"/>
      <c r="F97" s="28">
        <v>4099</v>
      </c>
      <c r="G97" s="29"/>
      <c r="H97" s="30"/>
      <c r="I97" s="30"/>
      <c r="J97" s="31" t="s">
        <v>724</v>
      </c>
      <c r="K97" s="32" t="s">
        <v>725</v>
      </c>
      <c r="L97" s="32" t="s">
        <v>725</v>
      </c>
      <c r="M97" s="33" t="s">
        <v>726</v>
      </c>
      <c r="N97" s="33" t="s">
        <v>727</v>
      </c>
      <c r="O97" s="32">
        <v>4099</v>
      </c>
      <c r="P97" s="34">
        <v>45402.516793981478</v>
      </c>
    </row>
    <row r="98" spans="2:26" x14ac:dyDescent="0.25">
      <c r="E98" s="35"/>
      <c r="F98" s="36">
        <v>45402.516793981478</v>
      </c>
      <c r="G98" s="37"/>
      <c r="H98" s="30"/>
      <c r="I98" s="30"/>
      <c r="J98" s="31" t="s">
        <v>728</v>
      </c>
      <c r="K98" s="38">
        <v>0</v>
      </c>
      <c r="L98" s="39"/>
      <c r="M98" s="40">
        <v>1</v>
      </c>
      <c r="N98" s="41">
        <v>110</v>
      </c>
      <c r="O98" s="32">
        <v>4099</v>
      </c>
      <c r="P98" s="34">
        <v>45402.516793981478</v>
      </c>
    </row>
    <row r="99" spans="2:26" x14ac:dyDescent="0.25">
      <c r="B99" s="42"/>
      <c r="C99" s="43" t="s">
        <v>729</v>
      </c>
      <c r="D99" s="43" t="s">
        <v>730</v>
      </c>
      <c r="E99" s="43" t="s">
        <v>731</v>
      </c>
      <c r="F99" s="43" t="s">
        <v>728</v>
      </c>
      <c r="G99" s="43" t="s">
        <v>732</v>
      </c>
      <c r="H99" s="44" t="s">
        <v>733</v>
      </c>
      <c r="I99" s="44" t="s">
        <v>734</v>
      </c>
      <c r="J99" s="44">
        <v>0</v>
      </c>
      <c r="K99" s="44">
        <v>1</v>
      </c>
      <c r="L99" s="44">
        <v>2</v>
      </c>
      <c r="M99" s="33"/>
      <c r="N99" s="45"/>
      <c r="O99" s="32">
        <v>4099</v>
      </c>
      <c r="P99" s="34">
        <v>45402.516793981478</v>
      </c>
    </row>
    <row r="100" spans="2:26" x14ac:dyDescent="0.25">
      <c r="B100" s="46">
        <v>1</v>
      </c>
      <c r="C100" s="47" t="s">
        <v>99</v>
      </c>
      <c r="D100" s="48" t="s">
        <v>28</v>
      </c>
      <c r="E100" s="49">
        <v>2</v>
      </c>
      <c r="F100" s="50">
        <v>400</v>
      </c>
      <c r="G100" s="51">
        <v>800</v>
      </c>
      <c r="H100" s="52">
        <v>-2</v>
      </c>
      <c r="I100" s="53">
        <v>167</v>
      </c>
      <c r="J100" s="54">
        <v>462</v>
      </c>
      <c r="K100" s="54">
        <v>370</v>
      </c>
      <c r="L100" s="54">
        <v>323</v>
      </c>
      <c r="M100" s="55">
        <v>1</v>
      </c>
      <c r="N100" s="56">
        <v>110</v>
      </c>
      <c r="O100" s="32">
        <v>4099</v>
      </c>
      <c r="P100" s="34">
        <v>45402.516793981478</v>
      </c>
      <c r="R100" s="57"/>
      <c r="S100" s="57"/>
      <c r="T100" s="57"/>
      <c r="U100" s="57"/>
      <c r="V100" s="57"/>
      <c r="W100" s="57"/>
      <c r="X100" s="57"/>
      <c r="Y100" s="57"/>
      <c r="Z100" s="57"/>
    </row>
    <row r="101" spans="2:26" x14ac:dyDescent="0.25">
      <c r="B101" s="48">
        <v>2</v>
      </c>
      <c r="C101" s="47" t="s">
        <v>99</v>
      </c>
      <c r="D101" s="48" t="s">
        <v>28</v>
      </c>
      <c r="E101" s="49">
        <v>1</v>
      </c>
      <c r="F101" s="50">
        <v>350</v>
      </c>
      <c r="G101" s="51">
        <v>350</v>
      </c>
      <c r="H101" s="58">
        <v>-1</v>
      </c>
      <c r="I101" s="53">
        <v>167</v>
      </c>
      <c r="J101" s="54">
        <v>462</v>
      </c>
      <c r="K101" s="54">
        <v>370</v>
      </c>
      <c r="L101" s="54">
        <v>323</v>
      </c>
      <c r="M101" s="55">
        <v>1</v>
      </c>
      <c r="N101" s="56">
        <v>110</v>
      </c>
      <c r="O101" s="32">
        <v>4099</v>
      </c>
      <c r="P101" s="34">
        <v>45402.516793981478</v>
      </c>
    </row>
    <row r="102" spans="2:26" x14ac:dyDescent="0.25">
      <c r="B102" s="48">
        <v>3</v>
      </c>
      <c r="C102" s="47" t="s">
        <v>10</v>
      </c>
      <c r="D102" s="48" t="s">
        <v>5</v>
      </c>
      <c r="E102" s="49">
        <v>3</v>
      </c>
      <c r="F102" s="50">
        <v>250</v>
      </c>
      <c r="G102" s="51">
        <v>750</v>
      </c>
      <c r="H102" s="58">
        <v>-3</v>
      </c>
      <c r="I102" s="53">
        <v>4</v>
      </c>
      <c r="J102" s="54">
        <v>248</v>
      </c>
      <c r="K102" s="54">
        <v>198</v>
      </c>
      <c r="L102" s="54">
        <v>188</v>
      </c>
      <c r="M102" s="55">
        <v>1</v>
      </c>
      <c r="N102" s="56">
        <v>110</v>
      </c>
      <c r="O102" s="32">
        <v>4099</v>
      </c>
      <c r="P102" s="34">
        <v>45402.516793981478</v>
      </c>
    </row>
    <row r="103" spans="2:26" x14ac:dyDescent="0.25">
      <c r="B103" s="48">
        <v>4</v>
      </c>
      <c r="C103" s="47" t="s">
        <v>215</v>
      </c>
      <c r="D103" s="48" t="s">
        <v>28</v>
      </c>
      <c r="E103" s="49">
        <v>1</v>
      </c>
      <c r="F103" s="50">
        <v>200</v>
      </c>
      <c r="G103" s="51">
        <v>200</v>
      </c>
      <c r="H103" s="58">
        <v>-1</v>
      </c>
      <c r="I103" s="53">
        <v>187</v>
      </c>
      <c r="J103" s="54">
        <v>462</v>
      </c>
      <c r="K103" s="54">
        <v>370</v>
      </c>
      <c r="L103" s="54">
        <v>323</v>
      </c>
      <c r="M103" s="55">
        <v>1</v>
      </c>
      <c r="N103" s="56">
        <v>110</v>
      </c>
      <c r="O103" s="32">
        <v>4099</v>
      </c>
      <c r="P103" s="34">
        <v>45402.516793981478</v>
      </c>
    </row>
    <row r="104" spans="2:26" x14ac:dyDescent="0.25">
      <c r="B104" s="48">
        <v>5</v>
      </c>
      <c r="C104" s="47" t="s">
        <v>280</v>
      </c>
      <c r="D104" s="48" t="s">
        <v>28</v>
      </c>
      <c r="E104" s="49">
        <v>1</v>
      </c>
      <c r="F104" s="50">
        <v>750</v>
      </c>
      <c r="G104" s="51">
        <v>750</v>
      </c>
      <c r="H104" s="58">
        <v>-1</v>
      </c>
      <c r="I104" s="53">
        <v>99</v>
      </c>
      <c r="J104" s="54">
        <v>755</v>
      </c>
      <c r="K104" s="54">
        <v>705</v>
      </c>
      <c r="L104" s="54">
        <v>655</v>
      </c>
      <c r="M104" s="55">
        <v>1</v>
      </c>
      <c r="N104" s="56">
        <v>110</v>
      </c>
      <c r="O104" s="32">
        <v>4099</v>
      </c>
      <c r="P104" s="34">
        <v>45402.516793981478</v>
      </c>
    </row>
    <row r="105" spans="2:26" ht="15.75" x14ac:dyDescent="0.25">
      <c r="B105" s="59"/>
      <c r="C105" s="60"/>
      <c r="D105" s="60"/>
      <c r="E105" s="61" t="s">
        <v>735</v>
      </c>
      <c r="F105" s="62">
        <v>2850</v>
      </c>
      <c r="G105" s="62"/>
      <c r="H105" s="30"/>
      <c r="I105" s="30"/>
      <c r="J105" s="30"/>
      <c r="K105" s="30"/>
      <c r="L105" s="30"/>
      <c r="M105" s="63"/>
      <c r="N105" s="64"/>
      <c r="O105" s="32">
        <v>4099</v>
      </c>
      <c r="P105" s="34">
        <v>45402.516793981478</v>
      </c>
    </row>
    <row r="106" spans="2:26" x14ac:dyDescent="0.25">
      <c r="C106" s="25" t="s">
        <v>407</v>
      </c>
      <c r="D106" s="26" t="s">
        <v>723</v>
      </c>
      <c r="E106" s="27"/>
      <c r="F106" s="28">
        <v>4098</v>
      </c>
      <c r="G106" s="29"/>
      <c r="H106" s="30"/>
      <c r="I106" s="30"/>
      <c r="J106" s="31" t="s">
        <v>724</v>
      </c>
      <c r="K106" s="32" t="s">
        <v>725</v>
      </c>
      <c r="L106" s="32" t="s">
        <v>725</v>
      </c>
      <c r="M106" s="33" t="s">
        <v>726</v>
      </c>
      <c r="N106" s="33" t="s">
        <v>727</v>
      </c>
      <c r="O106" s="32">
        <v>4098</v>
      </c>
      <c r="P106" s="34">
        <v>45401.515115740738</v>
      </c>
    </row>
    <row r="107" spans="2:26" x14ac:dyDescent="0.25">
      <c r="E107" s="35"/>
      <c r="F107" s="36">
        <v>45401.515115740738</v>
      </c>
      <c r="G107" s="37"/>
      <c r="H107" s="30"/>
      <c r="I107" s="30"/>
      <c r="J107" s="31" t="s">
        <v>728</v>
      </c>
      <c r="K107" s="38">
        <v>0</v>
      </c>
      <c r="L107" s="39"/>
      <c r="M107" s="40">
        <v>1</v>
      </c>
      <c r="N107" s="41">
        <v>110</v>
      </c>
      <c r="O107" s="32">
        <v>4098</v>
      </c>
      <c r="P107" s="34">
        <v>45401.515115740738</v>
      </c>
    </row>
    <row r="108" spans="2:26" x14ac:dyDescent="0.25">
      <c r="B108" s="42"/>
      <c r="C108" s="43" t="s">
        <v>729</v>
      </c>
      <c r="D108" s="43" t="s">
        <v>730</v>
      </c>
      <c r="E108" s="43" t="s">
        <v>731</v>
      </c>
      <c r="F108" s="43" t="s">
        <v>728</v>
      </c>
      <c r="G108" s="43" t="s">
        <v>732</v>
      </c>
      <c r="H108" s="44" t="s">
        <v>733</v>
      </c>
      <c r="I108" s="44" t="s">
        <v>734</v>
      </c>
      <c r="J108" s="44">
        <v>0</v>
      </c>
      <c r="K108" s="44">
        <v>1</v>
      </c>
      <c r="L108" s="44">
        <v>2</v>
      </c>
      <c r="M108" s="33"/>
      <c r="N108" s="45"/>
      <c r="O108" s="32">
        <v>4098</v>
      </c>
      <c r="P108" s="34">
        <v>45401.515115740738</v>
      </c>
    </row>
    <row r="109" spans="2:26" x14ac:dyDescent="0.25">
      <c r="B109" s="46">
        <v>1</v>
      </c>
      <c r="C109" s="47" t="s">
        <v>355</v>
      </c>
      <c r="D109" s="48" t="s">
        <v>28</v>
      </c>
      <c r="E109" s="49">
        <v>2</v>
      </c>
      <c r="F109" s="50">
        <v>250</v>
      </c>
      <c r="G109" s="51">
        <v>500</v>
      </c>
      <c r="H109" s="52">
        <v>-2</v>
      </c>
      <c r="I109" s="53">
        <v>127</v>
      </c>
      <c r="J109" s="54">
        <v>180</v>
      </c>
      <c r="K109" s="54">
        <v>144</v>
      </c>
      <c r="L109" s="54">
        <v>126</v>
      </c>
      <c r="M109" s="55">
        <v>1</v>
      </c>
      <c r="N109" s="56">
        <v>110</v>
      </c>
      <c r="O109" s="32">
        <v>4098</v>
      </c>
      <c r="P109" s="34">
        <v>45401.515115740738</v>
      </c>
      <c r="R109" s="57"/>
      <c r="S109" s="57"/>
      <c r="T109" s="57"/>
      <c r="U109" s="57"/>
      <c r="V109" s="57"/>
      <c r="W109" s="57"/>
      <c r="X109" s="57"/>
      <c r="Y109" s="57"/>
      <c r="Z109" s="57"/>
    </row>
    <row r="110" spans="2:26" x14ac:dyDescent="0.25">
      <c r="B110" s="48">
        <v>2</v>
      </c>
      <c r="C110" s="47" t="s">
        <v>215</v>
      </c>
      <c r="D110" s="48" t="s">
        <v>28</v>
      </c>
      <c r="E110" s="49">
        <v>1</v>
      </c>
      <c r="F110" s="50">
        <v>400</v>
      </c>
      <c r="G110" s="51">
        <v>400</v>
      </c>
      <c r="H110" s="58">
        <v>-1</v>
      </c>
      <c r="I110" s="53">
        <v>187</v>
      </c>
      <c r="J110" s="54">
        <v>462</v>
      </c>
      <c r="K110" s="54">
        <v>370</v>
      </c>
      <c r="L110" s="54">
        <v>323</v>
      </c>
      <c r="M110" s="55">
        <v>1</v>
      </c>
      <c r="N110" s="56">
        <v>110</v>
      </c>
      <c r="O110" s="32">
        <v>4098</v>
      </c>
      <c r="P110" s="34">
        <v>45401.515115740738</v>
      </c>
    </row>
    <row r="111" spans="2:26" x14ac:dyDescent="0.25">
      <c r="B111" s="48">
        <v>3</v>
      </c>
      <c r="C111" s="47" t="s">
        <v>99</v>
      </c>
      <c r="D111" s="48" t="s">
        <v>28</v>
      </c>
      <c r="E111" s="49">
        <v>1</v>
      </c>
      <c r="F111" s="50">
        <v>400</v>
      </c>
      <c r="G111" s="51">
        <v>400</v>
      </c>
      <c r="H111" s="58">
        <v>-1</v>
      </c>
      <c r="I111" s="53">
        <v>167</v>
      </c>
      <c r="J111" s="54">
        <v>462</v>
      </c>
      <c r="K111" s="54">
        <v>370</v>
      </c>
      <c r="L111" s="54">
        <v>323</v>
      </c>
      <c r="M111" s="55">
        <v>1</v>
      </c>
      <c r="N111" s="56">
        <v>110</v>
      </c>
      <c r="O111" s="32">
        <v>4098</v>
      </c>
      <c r="P111" s="34">
        <v>45401.515115740738</v>
      </c>
    </row>
    <row r="112" spans="2:26" x14ac:dyDescent="0.25">
      <c r="B112" s="48">
        <v>4</v>
      </c>
      <c r="C112" s="47" t="s">
        <v>308</v>
      </c>
      <c r="D112" s="48" t="s">
        <v>28</v>
      </c>
      <c r="E112" s="49">
        <v>1</v>
      </c>
      <c r="F112" s="50">
        <v>150</v>
      </c>
      <c r="G112" s="51">
        <v>150</v>
      </c>
      <c r="H112" s="58">
        <v>-1</v>
      </c>
      <c r="I112" s="53">
        <v>108</v>
      </c>
      <c r="J112" s="54">
        <v>163</v>
      </c>
      <c r="K112" s="54">
        <v>130</v>
      </c>
      <c r="L112" s="54">
        <v>114</v>
      </c>
      <c r="M112" s="55">
        <v>1</v>
      </c>
      <c r="N112" s="56">
        <v>110</v>
      </c>
      <c r="O112" s="32">
        <v>4098</v>
      </c>
      <c r="P112" s="34">
        <v>45401.515115740738</v>
      </c>
    </row>
    <row r="113" spans="2:26" x14ac:dyDescent="0.25">
      <c r="B113" s="48">
        <v>5</v>
      </c>
      <c r="C113" s="47" t="s">
        <v>10</v>
      </c>
      <c r="D113" s="48" t="s">
        <v>5</v>
      </c>
      <c r="E113" s="49">
        <v>2</v>
      </c>
      <c r="F113" s="50">
        <v>250</v>
      </c>
      <c r="G113" s="51">
        <v>500</v>
      </c>
      <c r="H113" s="58">
        <v>18</v>
      </c>
      <c r="I113" s="53">
        <v>4</v>
      </c>
      <c r="J113" s="54">
        <v>248</v>
      </c>
      <c r="K113" s="54">
        <v>198</v>
      </c>
      <c r="L113" s="54">
        <v>188</v>
      </c>
      <c r="M113" s="55">
        <v>1</v>
      </c>
      <c r="N113" s="56">
        <v>110</v>
      </c>
      <c r="O113" s="32">
        <v>4098</v>
      </c>
      <c r="P113" s="34">
        <v>45401.515115740738</v>
      </c>
    </row>
    <row r="114" spans="2:26" x14ac:dyDescent="0.25">
      <c r="B114" s="48">
        <v>6</v>
      </c>
      <c r="C114" s="47" t="s">
        <v>43</v>
      </c>
      <c r="D114" s="48" t="s">
        <v>28</v>
      </c>
      <c r="E114" s="49">
        <v>1</v>
      </c>
      <c r="F114" s="50">
        <v>200</v>
      </c>
      <c r="G114" s="51">
        <v>200</v>
      </c>
      <c r="H114" s="58">
        <v>-1</v>
      </c>
      <c r="I114" s="53">
        <v>27</v>
      </c>
      <c r="J114" s="54">
        <v>191</v>
      </c>
      <c r="K114" s="54">
        <v>153</v>
      </c>
      <c r="L114" s="54">
        <v>145</v>
      </c>
      <c r="M114" s="55">
        <v>1</v>
      </c>
      <c r="N114" s="56">
        <v>110</v>
      </c>
      <c r="O114" s="32">
        <v>4098</v>
      </c>
      <c r="P114" s="34">
        <v>45401.515115740738</v>
      </c>
    </row>
    <row r="115" spans="2:26" ht="15.75" x14ac:dyDescent="0.25">
      <c r="B115" s="59"/>
      <c r="C115" s="60"/>
      <c r="D115" s="60"/>
      <c r="E115" s="61" t="s">
        <v>735</v>
      </c>
      <c r="F115" s="62">
        <v>2150</v>
      </c>
      <c r="G115" s="62"/>
      <c r="H115" s="30"/>
      <c r="I115" s="30"/>
      <c r="J115" s="30"/>
      <c r="K115" s="30"/>
      <c r="L115" s="30"/>
      <c r="M115" s="63"/>
      <c r="N115" s="64"/>
      <c r="O115" s="32">
        <v>4098</v>
      </c>
      <c r="P115" s="34">
        <v>45401.515115740738</v>
      </c>
    </row>
    <row r="116" spans="2:26" x14ac:dyDescent="0.25">
      <c r="C116" s="25" t="s">
        <v>407</v>
      </c>
      <c r="D116" s="26" t="s">
        <v>723</v>
      </c>
      <c r="E116" s="27"/>
      <c r="F116" s="28">
        <v>4097</v>
      </c>
      <c r="G116" s="29"/>
      <c r="H116" s="30"/>
      <c r="I116" s="30"/>
      <c r="J116" s="31" t="s">
        <v>724</v>
      </c>
      <c r="K116" s="32" t="s">
        <v>725</v>
      </c>
      <c r="L116" s="32" t="s">
        <v>725</v>
      </c>
      <c r="M116" s="33" t="s">
        <v>726</v>
      </c>
      <c r="N116" s="33" t="s">
        <v>727</v>
      </c>
      <c r="O116" s="32">
        <v>4097</v>
      </c>
      <c r="P116" s="34">
        <v>45400.505462962959</v>
      </c>
    </row>
    <row r="117" spans="2:26" x14ac:dyDescent="0.25">
      <c r="E117" s="35"/>
      <c r="F117" s="36">
        <v>45400.505462962959</v>
      </c>
      <c r="G117" s="37"/>
      <c r="H117" s="30"/>
      <c r="I117" s="30"/>
      <c r="J117" s="31" t="s">
        <v>728</v>
      </c>
      <c r="K117" s="38">
        <v>0</v>
      </c>
      <c r="L117" s="39"/>
      <c r="M117" s="40">
        <v>1</v>
      </c>
      <c r="N117" s="41">
        <v>110</v>
      </c>
      <c r="O117" s="32">
        <v>4097</v>
      </c>
      <c r="P117" s="34">
        <v>45400.505462962959</v>
      </c>
    </row>
    <row r="118" spans="2:26" x14ac:dyDescent="0.25">
      <c r="B118" s="42"/>
      <c r="C118" s="43" t="s">
        <v>729</v>
      </c>
      <c r="D118" s="43" t="s">
        <v>730</v>
      </c>
      <c r="E118" s="43" t="s">
        <v>731</v>
      </c>
      <c r="F118" s="43" t="s">
        <v>728</v>
      </c>
      <c r="G118" s="43" t="s">
        <v>732</v>
      </c>
      <c r="H118" s="44" t="s">
        <v>733</v>
      </c>
      <c r="I118" s="44" t="s">
        <v>734</v>
      </c>
      <c r="J118" s="44">
        <v>0</v>
      </c>
      <c r="K118" s="44">
        <v>1</v>
      </c>
      <c r="L118" s="44">
        <v>2</v>
      </c>
      <c r="M118" s="33"/>
      <c r="N118" s="45"/>
      <c r="O118" s="32">
        <v>4097</v>
      </c>
      <c r="P118" s="34">
        <v>45400.505462962959</v>
      </c>
    </row>
    <row r="119" spans="2:26" x14ac:dyDescent="0.25">
      <c r="B119" s="46">
        <v>1</v>
      </c>
      <c r="C119" s="47" t="s">
        <v>126</v>
      </c>
      <c r="D119" s="48" t="s">
        <v>28</v>
      </c>
      <c r="E119" s="49">
        <v>2</v>
      </c>
      <c r="F119" s="50">
        <v>850</v>
      </c>
      <c r="G119" s="51">
        <v>1700</v>
      </c>
      <c r="H119" s="52">
        <v>16</v>
      </c>
      <c r="I119" s="53">
        <v>175</v>
      </c>
      <c r="J119" s="54">
        <v>874</v>
      </c>
      <c r="K119" s="54">
        <v>728</v>
      </c>
      <c r="L119" s="54">
        <v>680</v>
      </c>
      <c r="M119" s="55">
        <v>1</v>
      </c>
      <c r="N119" s="56">
        <v>110</v>
      </c>
      <c r="O119" s="32">
        <v>4097</v>
      </c>
      <c r="P119" s="34">
        <v>45400.505462962959</v>
      </c>
      <c r="R119" s="57"/>
      <c r="S119" s="57"/>
      <c r="T119" s="57"/>
      <c r="U119" s="57"/>
      <c r="V119" s="57"/>
      <c r="W119" s="57"/>
      <c r="X119" s="57"/>
      <c r="Y119" s="57"/>
      <c r="Z119" s="57"/>
    </row>
    <row r="120" spans="2:26" x14ac:dyDescent="0.25">
      <c r="B120" s="48">
        <v>2</v>
      </c>
      <c r="C120" s="47" t="s">
        <v>99</v>
      </c>
      <c r="D120" s="48" t="s">
        <v>28</v>
      </c>
      <c r="E120" s="49">
        <v>4</v>
      </c>
      <c r="F120" s="50">
        <v>400</v>
      </c>
      <c r="G120" s="51">
        <v>1600</v>
      </c>
      <c r="H120" s="58">
        <v>-4</v>
      </c>
      <c r="I120" s="53">
        <v>167</v>
      </c>
      <c r="J120" s="54">
        <v>462</v>
      </c>
      <c r="K120" s="54">
        <v>370</v>
      </c>
      <c r="L120" s="54">
        <v>323</v>
      </c>
      <c r="M120" s="55">
        <v>1</v>
      </c>
      <c r="N120" s="56">
        <v>110</v>
      </c>
      <c r="O120" s="32">
        <v>4097</v>
      </c>
      <c r="P120" s="34">
        <v>45400.505462962959</v>
      </c>
    </row>
    <row r="121" spans="2:26" x14ac:dyDescent="0.25">
      <c r="B121" s="48">
        <v>3</v>
      </c>
      <c r="C121" s="47" t="s">
        <v>18</v>
      </c>
      <c r="D121" s="48" t="s">
        <v>5</v>
      </c>
      <c r="E121" s="49">
        <v>1</v>
      </c>
      <c r="F121" s="50">
        <v>300</v>
      </c>
      <c r="G121" s="51">
        <v>300</v>
      </c>
      <c r="H121" s="58">
        <v>-1</v>
      </c>
      <c r="I121" s="53">
        <v>8</v>
      </c>
      <c r="J121" s="54">
        <v>274</v>
      </c>
      <c r="K121" s="54">
        <v>229</v>
      </c>
      <c r="L121" s="54">
        <v>217</v>
      </c>
      <c r="M121" s="55">
        <v>1</v>
      </c>
      <c r="N121" s="56">
        <v>110</v>
      </c>
      <c r="O121" s="32">
        <v>4097</v>
      </c>
      <c r="P121" s="34">
        <v>45400.505462962959</v>
      </c>
    </row>
    <row r="122" spans="2:26" x14ac:dyDescent="0.25">
      <c r="B122" s="48">
        <v>4</v>
      </c>
      <c r="C122" s="47" t="s">
        <v>125</v>
      </c>
      <c r="D122" s="48" t="s">
        <v>28</v>
      </c>
      <c r="E122" s="49">
        <v>1</v>
      </c>
      <c r="F122" s="50">
        <v>950</v>
      </c>
      <c r="G122" s="51">
        <v>950</v>
      </c>
      <c r="H122" s="58">
        <v>-1</v>
      </c>
      <c r="I122" s="53">
        <v>33</v>
      </c>
      <c r="J122" s="54">
        <v>876</v>
      </c>
      <c r="K122" s="54">
        <v>730</v>
      </c>
      <c r="L122" s="54">
        <v>681</v>
      </c>
      <c r="M122" s="55">
        <v>1</v>
      </c>
      <c r="N122" s="56">
        <v>110</v>
      </c>
      <c r="O122" s="32">
        <v>4097</v>
      </c>
      <c r="P122" s="34">
        <v>45400.505462962959</v>
      </c>
    </row>
    <row r="123" spans="2:26" x14ac:dyDescent="0.25">
      <c r="B123" s="48">
        <v>5</v>
      </c>
      <c r="C123" s="47" t="s">
        <v>308</v>
      </c>
      <c r="D123" s="48" t="s">
        <v>28</v>
      </c>
      <c r="E123" s="49">
        <v>2</v>
      </c>
      <c r="F123" s="50">
        <v>150</v>
      </c>
      <c r="G123" s="51">
        <v>300</v>
      </c>
      <c r="H123" s="58">
        <v>12</v>
      </c>
      <c r="I123" s="53">
        <v>108</v>
      </c>
      <c r="J123" s="54">
        <v>163</v>
      </c>
      <c r="K123" s="54">
        <v>130</v>
      </c>
      <c r="L123" s="54">
        <v>114</v>
      </c>
      <c r="M123" s="55">
        <v>1</v>
      </c>
      <c r="N123" s="56">
        <v>110</v>
      </c>
      <c r="O123" s="32">
        <v>4097</v>
      </c>
      <c r="P123" s="34">
        <v>45400.505462962959</v>
      </c>
    </row>
    <row r="124" spans="2:26" x14ac:dyDescent="0.25">
      <c r="B124" s="48">
        <v>6</v>
      </c>
      <c r="C124" s="47" t="s">
        <v>355</v>
      </c>
      <c r="D124" s="48" t="s">
        <v>28</v>
      </c>
      <c r="E124" s="49">
        <v>2</v>
      </c>
      <c r="F124" s="50">
        <v>250</v>
      </c>
      <c r="G124" s="51">
        <v>500</v>
      </c>
      <c r="H124" s="58">
        <v>-2</v>
      </c>
      <c r="I124" s="53">
        <v>127</v>
      </c>
      <c r="J124" s="54">
        <v>180</v>
      </c>
      <c r="K124" s="54">
        <v>144</v>
      </c>
      <c r="L124" s="54">
        <v>126</v>
      </c>
      <c r="M124" s="55">
        <v>1</v>
      </c>
      <c r="N124" s="56">
        <v>110</v>
      </c>
      <c r="O124" s="32">
        <v>4097</v>
      </c>
      <c r="P124" s="34">
        <v>45400.505462962959</v>
      </c>
    </row>
    <row r="125" spans="2:26" ht="15.75" x14ac:dyDescent="0.25">
      <c r="B125" s="59"/>
      <c r="C125" s="60"/>
      <c r="D125" s="60"/>
      <c r="E125" s="61" t="s">
        <v>735</v>
      </c>
      <c r="F125" s="62">
        <v>5350</v>
      </c>
      <c r="G125" s="62"/>
      <c r="H125" s="30"/>
      <c r="I125" s="30"/>
      <c r="J125" s="30"/>
      <c r="K125" s="30"/>
      <c r="L125" s="30"/>
      <c r="M125" s="63"/>
      <c r="N125" s="64"/>
      <c r="O125" s="32">
        <v>4097</v>
      </c>
      <c r="P125" s="34">
        <v>45400.505462962959</v>
      </c>
    </row>
    <row r="126" spans="2:26" x14ac:dyDescent="0.25">
      <c r="C126" s="25" t="s">
        <v>407</v>
      </c>
      <c r="D126" s="26" t="s">
        <v>723</v>
      </c>
      <c r="E126" s="27"/>
      <c r="F126" s="28">
        <v>4096</v>
      </c>
      <c r="G126" s="29"/>
      <c r="H126" s="30"/>
      <c r="I126" s="30"/>
      <c r="J126" s="31" t="s">
        <v>724</v>
      </c>
      <c r="K126" s="32" t="s">
        <v>725</v>
      </c>
      <c r="L126" s="32" t="s">
        <v>725</v>
      </c>
      <c r="M126" s="33" t="s">
        <v>726</v>
      </c>
      <c r="N126" s="33" t="s">
        <v>727</v>
      </c>
      <c r="O126" s="32">
        <v>4096</v>
      </c>
      <c r="P126" s="34">
        <v>45399.503310185188</v>
      </c>
    </row>
    <row r="127" spans="2:26" x14ac:dyDescent="0.25">
      <c r="E127" s="35"/>
      <c r="F127" s="36">
        <v>45399.503310185188</v>
      </c>
      <c r="G127" s="37"/>
      <c r="H127" s="30"/>
      <c r="I127" s="30"/>
      <c r="J127" s="31" t="s">
        <v>728</v>
      </c>
      <c r="K127" s="38">
        <v>0</v>
      </c>
      <c r="L127" s="39"/>
      <c r="M127" s="40">
        <v>1</v>
      </c>
      <c r="N127" s="41">
        <v>110</v>
      </c>
      <c r="O127" s="32">
        <v>4096</v>
      </c>
      <c r="P127" s="34">
        <v>45399.503310185188</v>
      </c>
    </row>
    <row r="128" spans="2:26" x14ac:dyDescent="0.25">
      <c r="B128" s="42"/>
      <c r="C128" s="43" t="s">
        <v>729</v>
      </c>
      <c r="D128" s="43" t="s">
        <v>730</v>
      </c>
      <c r="E128" s="43" t="s">
        <v>731</v>
      </c>
      <c r="F128" s="43" t="s">
        <v>728</v>
      </c>
      <c r="G128" s="43" t="s">
        <v>732</v>
      </c>
      <c r="H128" s="44" t="s">
        <v>733</v>
      </c>
      <c r="I128" s="44" t="s">
        <v>734</v>
      </c>
      <c r="J128" s="44">
        <v>0</v>
      </c>
      <c r="K128" s="44">
        <v>1</v>
      </c>
      <c r="L128" s="44">
        <v>2</v>
      </c>
      <c r="M128" s="33"/>
      <c r="N128" s="45"/>
      <c r="O128" s="32">
        <v>4096</v>
      </c>
      <c r="P128" s="34">
        <v>45399.503310185188</v>
      </c>
    </row>
    <row r="129" spans="2:26" x14ac:dyDescent="0.25">
      <c r="B129" s="46">
        <v>1</v>
      </c>
      <c r="C129" s="47" t="s">
        <v>99</v>
      </c>
      <c r="D129" s="48" t="s">
        <v>28</v>
      </c>
      <c r="E129" s="49">
        <v>6</v>
      </c>
      <c r="F129" s="50">
        <v>400</v>
      </c>
      <c r="G129" s="51">
        <v>2400</v>
      </c>
      <c r="H129" s="52">
        <v>-6</v>
      </c>
      <c r="I129" s="53">
        <v>167</v>
      </c>
      <c r="J129" s="54">
        <v>462</v>
      </c>
      <c r="K129" s="54">
        <v>370</v>
      </c>
      <c r="L129" s="54">
        <v>323</v>
      </c>
      <c r="M129" s="55">
        <v>1</v>
      </c>
      <c r="N129" s="56">
        <v>110</v>
      </c>
      <c r="O129" s="32">
        <v>4096</v>
      </c>
      <c r="P129" s="34">
        <v>45399.503310185188</v>
      </c>
      <c r="R129" s="57"/>
      <c r="S129" s="57"/>
      <c r="T129" s="57"/>
      <c r="U129" s="57"/>
      <c r="V129" s="57"/>
      <c r="W129" s="57"/>
      <c r="X129" s="57"/>
      <c r="Y129" s="57"/>
      <c r="Z129" s="57"/>
    </row>
    <row r="130" spans="2:26" x14ac:dyDescent="0.25">
      <c r="B130" s="48">
        <v>2</v>
      </c>
      <c r="C130" s="47" t="s">
        <v>355</v>
      </c>
      <c r="D130" s="48" t="s">
        <v>28</v>
      </c>
      <c r="E130" s="49">
        <v>3</v>
      </c>
      <c r="F130" s="50">
        <v>250</v>
      </c>
      <c r="G130" s="51">
        <v>750</v>
      </c>
      <c r="H130" s="58">
        <v>-3</v>
      </c>
      <c r="I130" s="53">
        <v>127</v>
      </c>
      <c r="J130" s="54">
        <v>180</v>
      </c>
      <c r="K130" s="54">
        <v>144</v>
      </c>
      <c r="L130" s="54">
        <v>126</v>
      </c>
      <c r="M130" s="55">
        <v>1</v>
      </c>
      <c r="N130" s="56">
        <v>110</v>
      </c>
      <c r="O130" s="32">
        <v>4096</v>
      </c>
      <c r="P130" s="34">
        <v>45399.503310185188</v>
      </c>
    </row>
    <row r="131" spans="2:26" x14ac:dyDescent="0.25">
      <c r="B131" s="48">
        <v>3</v>
      </c>
      <c r="C131" s="47" t="s">
        <v>308</v>
      </c>
      <c r="D131" s="48" t="s">
        <v>28</v>
      </c>
      <c r="E131" s="49">
        <v>1</v>
      </c>
      <c r="F131" s="50">
        <v>150</v>
      </c>
      <c r="G131" s="51">
        <v>150</v>
      </c>
      <c r="H131" s="58">
        <v>19</v>
      </c>
      <c r="I131" s="53">
        <v>108</v>
      </c>
      <c r="J131" s="54">
        <v>163</v>
      </c>
      <c r="K131" s="54">
        <v>130</v>
      </c>
      <c r="L131" s="54">
        <v>114</v>
      </c>
      <c r="M131" s="55">
        <v>1</v>
      </c>
      <c r="N131" s="56">
        <v>110</v>
      </c>
      <c r="O131" s="32">
        <v>4096</v>
      </c>
      <c r="P131" s="34">
        <v>45399.503310185188</v>
      </c>
    </row>
    <row r="132" spans="2:26" x14ac:dyDescent="0.25">
      <c r="B132" s="48">
        <v>4</v>
      </c>
      <c r="C132" s="47" t="s">
        <v>10</v>
      </c>
      <c r="D132" s="48" t="s">
        <v>5</v>
      </c>
      <c r="E132" s="49">
        <v>1</v>
      </c>
      <c r="F132" s="50">
        <v>250</v>
      </c>
      <c r="G132" s="51">
        <v>250</v>
      </c>
      <c r="H132" s="58">
        <v>-1</v>
      </c>
      <c r="I132" s="53">
        <v>4</v>
      </c>
      <c r="J132" s="54">
        <v>248</v>
      </c>
      <c r="K132" s="54">
        <v>198</v>
      </c>
      <c r="L132" s="54">
        <v>188</v>
      </c>
      <c r="M132" s="55">
        <v>1</v>
      </c>
      <c r="N132" s="56">
        <v>110</v>
      </c>
      <c r="O132" s="32">
        <v>4096</v>
      </c>
      <c r="P132" s="34">
        <v>45399.503310185188</v>
      </c>
    </row>
    <row r="133" spans="2:26" x14ac:dyDescent="0.25">
      <c r="B133" s="48">
        <v>5</v>
      </c>
      <c r="C133" s="47" t="s">
        <v>215</v>
      </c>
      <c r="D133" s="48" t="s">
        <v>28</v>
      </c>
      <c r="E133" s="49">
        <v>1</v>
      </c>
      <c r="F133" s="50">
        <v>200</v>
      </c>
      <c r="G133" s="51">
        <v>200</v>
      </c>
      <c r="H133" s="58">
        <v>-1</v>
      </c>
      <c r="I133" s="53">
        <v>187</v>
      </c>
      <c r="J133" s="54">
        <v>462</v>
      </c>
      <c r="K133" s="54">
        <v>370</v>
      </c>
      <c r="L133" s="54">
        <v>323</v>
      </c>
      <c r="M133" s="55">
        <v>1</v>
      </c>
      <c r="N133" s="56">
        <v>110</v>
      </c>
      <c r="O133" s="32">
        <v>4096</v>
      </c>
      <c r="P133" s="34">
        <v>45399.503310185188</v>
      </c>
    </row>
    <row r="134" spans="2:26" ht="15.75" x14ac:dyDescent="0.25">
      <c r="B134" s="59"/>
      <c r="C134" s="60"/>
      <c r="D134" s="60"/>
      <c r="E134" s="61" t="s">
        <v>735</v>
      </c>
      <c r="F134" s="62">
        <v>3750</v>
      </c>
      <c r="G134" s="62"/>
      <c r="H134" s="30"/>
      <c r="I134" s="30"/>
      <c r="J134" s="30"/>
      <c r="K134" s="30"/>
      <c r="L134" s="30"/>
      <c r="M134" s="63"/>
      <c r="N134" s="64"/>
      <c r="O134" s="32">
        <v>4096</v>
      </c>
      <c r="P134" s="34">
        <v>45399.503310185188</v>
      </c>
    </row>
    <row r="135" spans="2:26" x14ac:dyDescent="0.25">
      <c r="C135" s="25" t="s">
        <v>425</v>
      </c>
      <c r="D135" s="26" t="s">
        <v>723</v>
      </c>
      <c r="E135" s="27"/>
      <c r="F135" s="28">
        <v>4095</v>
      </c>
      <c r="G135" s="29"/>
      <c r="H135" s="30"/>
      <c r="I135" s="30"/>
      <c r="J135" s="31" t="s">
        <v>724</v>
      </c>
      <c r="K135" s="32" t="s">
        <v>725</v>
      </c>
      <c r="L135" s="32" t="s">
        <v>725</v>
      </c>
      <c r="M135" s="33" t="s">
        <v>726</v>
      </c>
      <c r="N135" s="33" t="s">
        <v>727</v>
      </c>
      <c r="O135" s="32">
        <v>4095</v>
      </c>
      <c r="P135" s="34">
        <v>45399.503310185188</v>
      </c>
    </row>
    <row r="136" spans="2:26" x14ac:dyDescent="0.25">
      <c r="E136" s="35"/>
      <c r="F136" s="36">
        <v>45399.503310185188</v>
      </c>
      <c r="G136" s="37"/>
      <c r="H136" s="30"/>
      <c r="I136" s="30"/>
      <c r="J136" s="31" t="s">
        <v>728</v>
      </c>
      <c r="K136" s="38">
        <v>0</v>
      </c>
      <c r="L136" s="39"/>
      <c r="M136" s="40">
        <v>8</v>
      </c>
      <c r="N136" s="41">
        <v>110</v>
      </c>
      <c r="O136" s="32">
        <v>4095</v>
      </c>
      <c r="P136" s="34">
        <v>45399.503310185188</v>
      </c>
    </row>
    <row r="137" spans="2:26" x14ac:dyDescent="0.25">
      <c r="B137" s="42"/>
      <c r="C137" s="43" t="s">
        <v>729</v>
      </c>
      <c r="D137" s="43" t="s">
        <v>730</v>
      </c>
      <c r="E137" s="43" t="s">
        <v>731</v>
      </c>
      <c r="F137" s="43" t="s">
        <v>728</v>
      </c>
      <c r="G137" s="43" t="s">
        <v>732</v>
      </c>
      <c r="H137" s="44" t="s">
        <v>733</v>
      </c>
      <c r="I137" s="44" t="s">
        <v>734</v>
      </c>
      <c r="J137" s="44">
        <v>0</v>
      </c>
      <c r="K137" s="44">
        <v>1</v>
      </c>
      <c r="L137" s="44">
        <v>2</v>
      </c>
      <c r="M137" s="33"/>
      <c r="N137" s="45"/>
      <c r="O137" s="32">
        <v>4095</v>
      </c>
      <c r="P137" s="34">
        <v>45399.503310185188</v>
      </c>
    </row>
    <row r="138" spans="2:26" x14ac:dyDescent="0.25">
      <c r="B138" s="46">
        <v>1</v>
      </c>
      <c r="C138" s="47" t="s">
        <v>215</v>
      </c>
      <c r="D138" s="48" t="s">
        <v>28</v>
      </c>
      <c r="E138" s="49">
        <v>1</v>
      </c>
      <c r="F138" s="50">
        <v>400</v>
      </c>
      <c r="G138" s="51">
        <v>400</v>
      </c>
      <c r="H138" s="52">
        <v>-1</v>
      </c>
      <c r="I138" s="53">
        <v>187</v>
      </c>
      <c r="J138" s="54">
        <v>462</v>
      </c>
      <c r="K138" s="54">
        <v>370</v>
      </c>
      <c r="L138" s="54">
        <v>323</v>
      </c>
      <c r="M138" s="55">
        <v>8</v>
      </c>
      <c r="N138" s="56">
        <v>110</v>
      </c>
      <c r="O138" s="32">
        <v>4095</v>
      </c>
      <c r="P138" s="34">
        <v>45399.503310185188</v>
      </c>
      <c r="R138" s="57"/>
      <c r="S138" s="57"/>
      <c r="T138" s="57"/>
      <c r="U138" s="57"/>
      <c r="V138" s="57"/>
      <c r="W138" s="57"/>
      <c r="X138" s="57"/>
      <c r="Y138" s="57"/>
      <c r="Z138" s="57"/>
    </row>
    <row r="139" spans="2:26" ht="15.75" x14ac:dyDescent="0.25">
      <c r="B139" s="59"/>
      <c r="C139" s="60"/>
      <c r="D139" s="60"/>
      <c r="E139" s="61" t="s">
        <v>735</v>
      </c>
      <c r="F139" s="62">
        <v>400</v>
      </c>
      <c r="G139" s="62"/>
      <c r="H139" s="30"/>
      <c r="I139" s="30"/>
      <c r="J139" s="30"/>
      <c r="K139" s="30"/>
      <c r="L139" s="30"/>
      <c r="M139" s="63"/>
      <c r="N139" s="64"/>
      <c r="O139" s="32">
        <v>4095</v>
      </c>
      <c r="P139" s="34">
        <v>45399.503310185188</v>
      </c>
    </row>
    <row r="140" spans="2:26" x14ac:dyDescent="0.25">
      <c r="C140" s="25" t="s">
        <v>407</v>
      </c>
      <c r="D140" s="26" t="s">
        <v>723</v>
      </c>
      <c r="E140" s="27"/>
      <c r="F140" s="28">
        <v>4094</v>
      </c>
      <c r="G140" s="29"/>
      <c r="H140" s="30"/>
      <c r="I140" s="30"/>
      <c r="J140" s="31" t="s">
        <v>724</v>
      </c>
      <c r="K140" s="32" t="s">
        <v>725</v>
      </c>
      <c r="L140" s="32" t="s">
        <v>725</v>
      </c>
      <c r="M140" s="33" t="s">
        <v>726</v>
      </c>
      <c r="N140" s="33" t="s">
        <v>727</v>
      </c>
      <c r="O140" s="32">
        <v>4094</v>
      </c>
      <c r="P140" s="34">
        <v>45398.478634259256</v>
      </c>
    </row>
    <row r="141" spans="2:26" x14ac:dyDescent="0.25">
      <c r="E141" s="35"/>
      <c r="F141" s="36">
        <v>45398.478634259256</v>
      </c>
      <c r="G141" s="37"/>
      <c r="H141" s="30"/>
      <c r="I141" s="30"/>
      <c r="J141" s="31" t="s">
        <v>728</v>
      </c>
      <c r="K141" s="38">
        <v>0</v>
      </c>
      <c r="L141" s="39"/>
      <c r="M141" s="40">
        <v>1</v>
      </c>
      <c r="N141" s="41">
        <v>110</v>
      </c>
      <c r="O141" s="32">
        <v>4094</v>
      </c>
      <c r="P141" s="34">
        <v>45398.478634259256</v>
      </c>
    </row>
    <row r="142" spans="2:26" x14ac:dyDescent="0.25">
      <c r="B142" s="42"/>
      <c r="C142" s="43" t="s">
        <v>729</v>
      </c>
      <c r="D142" s="43" t="s">
        <v>730</v>
      </c>
      <c r="E142" s="43" t="s">
        <v>731</v>
      </c>
      <c r="F142" s="43" t="s">
        <v>728</v>
      </c>
      <c r="G142" s="43" t="s">
        <v>732</v>
      </c>
      <c r="H142" s="44" t="s">
        <v>733</v>
      </c>
      <c r="I142" s="44" t="s">
        <v>734</v>
      </c>
      <c r="J142" s="44">
        <v>0</v>
      </c>
      <c r="K142" s="44">
        <v>1</v>
      </c>
      <c r="L142" s="44">
        <v>2</v>
      </c>
      <c r="M142" s="33"/>
      <c r="N142" s="45"/>
      <c r="O142" s="32">
        <v>4094</v>
      </c>
      <c r="P142" s="34">
        <v>45398.478634259256</v>
      </c>
    </row>
    <row r="143" spans="2:26" x14ac:dyDescent="0.25">
      <c r="B143" s="46">
        <v>1</v>
      </c>
      <c r="C143" s="47" t="s">
        <v>355</v>
      </c>
      <c r="D143" s="48" t="s">
        <v>28</v>
      </c>
      <c r="E143" s="49">
        <v>4</v>
      </c>
      <c r="F143" s="50">
        <v>250</v>
      </c>
      <c r="G143" s="51">
        <v>1000</v>
      </c>
      <c r="H143" s="52">
        <v>-4</v>
      </c>
      <c r="I143" s="53">
        <v>127</v>
      </c>
      <c r="J143" s="54">
        <v>180</v>
      </c>
      <c r="K143" s="54">
        <v>144</v>
      </c>
      <c r="L143" s="54">
        <v>126</v>
      </c>
      <c r="M143" s="55">
        <v>1</v>
      </c>
      <c r="N143" s="56">
        <v>110</v>
      </c>
      <c r="O143" s="32">
        <v>4094</v>
      </c>
      <c r="P143" s="34">
        <v>45398.478634259256</v>
      </c>
      <c r="R143" s="57"/>
      <c r="S143" s="57"/>
      <c r="T143" s="57"/>
      <c r="U143" s="57"/>
      <c r="V143" s="57"/>
      <c r="W143" s="57"/>
      <c r="X143" s="57"/>
      <c r="Y143" s="57"/>
      <c r="Z143" s="57"/>
    </row>
    <row r="144" spans="2:26" x14ac:dyDescent="0.25">
      <c r="B144" s="48">
        <v>2</v>
      </c>
      <c r="C144" s="47" t="s">
        <v>99</v>
      </c>
      <c r="D144" s="48" t="s">
        <v>28</v>
      </c>
      <c r="E144" s="49">
        <v>5</v>
      </c>
      <c r="F144" s="50">
        <v>350</v>
      </c>
      <c r="G144" s="51">
        <v>1750</v>
      </c>
      <c r="H144" s="58">
        <v>-4</v>
      </c>
      <c r="I144" s="53">
        <v>167</v>
      </c>
      <c r="J144" s="54">
        <v>462</v>
      </c>
      <c r="K144" s="54">
        <v>370</v>
      </c>
      <c r="L144" s="54">
        <v>323</v>
      </c>
      <c r="M144" s="55">
        <v>1</v>
      </c>
      <c r="N144" s="56">
        <v>110</v>
      </c>
      <c r="O144" s="32">
        <v>4094</v>
      </c>
      <c r="P144" s="34">
        <v>45398.478634259256</v>
      </c>
    </row>
    <row r="145" spans="2:26" x14ac:dyDescent="0.25">
      <c r="B145" s="48">
        <v>3</v>
      </c>
      <c r="C145" s="47" t="s">
        <v>215</v>
      </c>
      <c r="D145" s="48" t="s">
        <v>28</v>
      </c>
      <c r="E145" s="49">
        <v>1</v>
      </c>
      <c r="F145" s="50">
        <v>500</v>
      </c>
      <c r="G145" s="51">
        <v>500</v>
      </c>
      <c r="H145" s="58">
        <v>-1</v>
      </c>
      <c r="I145" s="53">
        <v>187</v>
      </c>
      <c r="J145" s="54">
        <v>462</v>
      </c>
      <c r="K145" s="54">
        <v>370</v>
      </c>
      <c r="L145" s="54">
        <v>323</v>
      </c>
      <c r="M145" s="55">
        <v>1</v>
      </c>
      <c r="N145" s="56">
        <v>110</v>
      </c>
      <c r="O145" s="32">
        <v>4094</v>
      </c>
      <c r="P145" s="34">
        <v>45398.478634259256</v>
      </c>
    </row>
    <row r="146" spans="2:26" x14ac:dyDescent="0.25">
      <c r="B146" s="48">
        <v>4</v>
      </c>
      <c r="C146" s="47" t="s">
        <v>213</v>
      </c>
      <c r="D146" s="48" t="s">
        <v>28</v>
      </c>
      <c r="E146" s="49">
        <v>1</v>
      </c>
      <c r="F146" s="50">
        <v>200</v>
      </c>
      <c r="G146" s="51">
        <v>200</v>
      </c>
      <c r="H146" s="58">
        <v>-1</v>
      </c>
      <c r="I146" s="53">
        <v>169</v>
      </c>
      <c r="J146" s="54">
        <v>462</v>
      </c>
      <c r="K146" s="54">
        <v>370</v>
      </c>
      <c r="L146" s="54">
        <v>323</v>
      </c>
      <c r="M146" s="55">
        <v>1</v>
      </c>
      <c r="N146" s="56">
        <v>110</v>
      </c>
      <c r="O146" s="32">
        <v>4094</v>
      </c>
      <c r="P146" s="34">
        <v>45398.478634259256</v>
      </c>
    </row>
    <row r="147" spans="2:26" x14ac:dyDescent="0.25">
      <c r="B147" s="48">
        <v>5</v>
      </c>
      <c r="C147" s="47" t="s">
        <v>286</v>
      </c>
      <c r="D147" s="48" t="s">
        <v>28</v>
      </c>
      <c r="E147" s="49">
        <v>1</v>
      </c>
      <c r="F147" s="50">
        <v>450</v>
      </c>
      <c r="G147" s="51">
        <v>450</v>
      </c>
      <c r="H147" s="58">
        <v>-1</v>
      </c>
      <c r="I147" s="53">
        <v>377</v>
      </c>
      <c r="J147" s="54">
        <v>2766</v>
      </c>
      <c r="K147" s="54">
        <v>2458</v>
      </c>
      <c r="L147" s="54">
        <v>2151</v>
      </c>
      <c r="M147" s="55">
        <v>1</v>
      </c>
      <c r="N147" s="56">
        <v>110</v>
      </c>
      <c r="O147" s="32">
        <v>4094</v>
      </c>
      <c r="P147" s="34">
        <v>45398.478634259256</v>
      </c>
    </row>
    <row r="148" spans="2:26" x14ac:dyDescent="0.25">
      <c r="B148" s="48">
        <v>6</v>
      </c>
      <c r="C148" s="47" t="s">
        <v>215</v>
      </c>
      <c r="D148" s="48" t="s">
        <v>28</v>
      </c>
      <c r="E148" s="49">
        <v>1</v>
      </c>
      <c r="F148" s="50">
        <v>200</v>
      </c>
      <c r="G148" s="51">
        <v>200</v>
      </c>
      <c r="H148" s="58">
        <v>-1</v>
      </c>
      <c r="I148" s="53">
        <v>187</v>
      </c>
      <c r="J148" s="54">
        <v>462</v>
      </c>
      <c r="K148" s="54">
        <v>370</v>
      </c>
      <c r="L148" s="54">
        <v>323</v>
      </c>
      <c r="M148" s="55">
        <v>1</v>
      </c>
      <c r="N148" s="56">
        <v>110</v>
      </c>
      <c r="O148" s="32">
        <v>4094</v>
      </c>
      <c r="P148" s="34">
        <v>45398.478634259256</v>
      </c>
    </row>
    <row r="149" spans="2:26" x14ac:dyDescent="0.25">
      <c r="B149" s="48">
        <v>7</v>
      </c>
      <c r="C149" s="47" t="s">
        <v>344</v>
      </c>
      <c r="D149" s="48" t="s">
        <v>28</v>
      </c>
      <c r="E149" s="49">
        <v>2</v>
      </c>
      <c r="F149" s="50">
        <v>250</v>
      </c>
      <c r="G149" s="51">
        <v>500</v>
      </c>
      <c r="H149" s="58">
        <v>-2</v>
      </c>
      <c r="I149" s="53">
        <v>117</v>
      </c>
      <c r="J149" s="54">
        <v>180</v>
      </c>
      <c r="K149" s="54">
        <v>144</v>
      </c>
      <c r="L149" s="54">
        <v>126</v>
      </c>
      <c r="M149" s="55">
        <v>1</v>
      </c>
      <c r="N149" s="56">
        <v>110</v>
      </c>
      <c r="O149" s="32">
        <v>4094</v>
      </c>
      <c r="P149" s="34">
        <v>45398.478634259256</v>
      </c>
    </row>
    <row r="150" spans="2:26" x14ac:dyDescent="0.25">
      <c r="B150" s="48">
        <v>8</v>
      </c>
      <c r="C150" s="47" t="s">
        <v>44</v>
      </c>
      <c r="D150" s="48" t="s">
        <v>28</v>
      </c>
      <c r="E150" s="49">
        <v>1</v>
      </c>
      <c r="F150" s="50">
        <v>400</v>
      </c>
      <c r="G150" s="51">
        <v>400</v>
      </c>
      <c r="H150" s="58">
        <v>-1</v>
      </c>
      <c r="I150" s="53">
        <v>326</v>
      </c>
      <c r="J150" s="54">
        <v>484</v>
      </c>
      <c r="K150" s="54">
        <v>538</v>
      </c>
      <c r="L150" s="54">
        <v>511</v>
      </c>
      <c r="M150" s="55">
        <v>1</v>
      </c>
      <c r="N150" s="56">
        <v>110</v>
      </c>
      <c r="O150" s="32">
        <v>4094</v>
      </c>
      <c r="P150" s="34">
        <v>45398.478634259256</v>
      </c>
    </row>
    <row r="151" spans="2:26" x14ac:dyDescent="0.25">
      <c r="B151" s="48">
        <v>9</v>
      </c>
      <c r="C151" s="47" t="s">
        <v>349</v>
      </c>
      <c r="D151" s="48" t="s">
        <v>28</v>
      </c>
      <c r="E151" s="49">
        <v>2</v>
      </c>
      <c r="F151" s="50">
        <v>300</v>
      </c>
      <c r="G151" s="51">
        <v>600</v>
      </c>
      <c r="H151" s="58">
        <v>-2</v>
      </c>
      <c r="I151" s="53">
        <v>122</v>
      </c>
      <c r="J151" s="54">
        <v>247</v>
      </c>
      <c r="K151" s="54">
        <v>198</v>
      </c>
      <c r="L151" s="54">
        <v>173</v>
      </c>
      <c r="M151" s="55">
        <v>1</v>
      </c>
      <c r="N151" s="56">
        <v>110</v>
      </c>
      <c r="O151" s="32">
        <v>4094</v>
      </c>
      <c r="P151" s="34">
        <v>45398.478634259256</v>
      </c>
    </row>
    <row r="152" spans="2:26" ht="15.75" x14ac:dyDescent="0.25">
      <c r="B152" s="59"/>
      <c r="C152" s="60"/>
      <c r="D152" s="60"/>
      <c r="E152" s="61" t="s">
        <v>735</v>
      </c>
      <c r="F152" s="62">
        <v>5600</v>
      </c>
      <c r="G152" s="62"/>
      <c r="H152" s="30"/>
      <c r="I152" s="30"/>
      <c r="J152" s="30"/>
      <c r="K152" s="30"/>
      <c r="L152" s="30"/>
      <c r="M152" s="63"/>
      <c r="N152" s="64"/>
      <c r="O152" s="32">
        <v>4094</v>
      </c>
      <c r="P152" s="34">
        <v>45398.478634259256</v>
      </c>
    </row>
    <row r="153" spans="2:26" x14ac:dyDescent="0.25">
      <c r="C153" s="25" t="s">
        <v>407</v>
      </c>
      <c r="D153" s="26" t="s">
        <v>723</v>
      </c>
      <c r="E153" s="27"/>
      <c r="F153" s="28">
        <v>4093</v>
      </c>
      <c r="G153" s="29"/>
      <c r="H153" s="30"/>
      <c r="I153" s="30"/>
      <c r="J153" s="31" t="s">
        <v>724</v>
      </c>
      <c r="K153" s="32" t="s">
        <v>725</v>
      </c>
      <c r="L153" s="32" t="s">
        <v>725</v>
      </c>
      <c r="M153" s="33" t="s">
        <v>726</v>
      </c>
      <c r="N153" s="33" t="s">
        <v>727</v>
      </c>
      <c r="O153" s="32">
        <v>4093</v>
      </c>
      <c r="P153" s="34">
        <v>45396.474722222221</v>
      </c>
    </row>
    <row r="154" spans="2:26" x14ac:dyDescent="0.25">
      <c r="E154" s="35"/>
      <c r="F154" s="36">
        <v>45396.474722222221</v>
      </c>
      <c r="G154" s="37"/>
      <c r="H154" s="30"/>
      <c r="I154" s="30"/>
      <c r="J154" s="31" t="s">
        <v>728</v>
      </c>
      <c r="K154" s="38">
        <v>0</v>
      </c>
      <c r="L154" s="39"/>
      <c r="M154" s="40">
        <v>1</v>
      </c>
      <c r="N154" s="41">
        <v>110</v>
      </c>
      <c r="O154" s="32">
        <v>4093</v>
      </c>
      <c r="P154" s="34">
        <v>45396.474722222221</v>
      </c>
    </row>
    <row r="155" spans="2:26" x14ac:dyDescent="0.25">
      <c r="B155" s="42"/>
      <c r="C155" s="43" t="s">
        <v>729</v>
      </c>
      <c r="D155" s="43" t="s">
        <v>730</v>
      </c>
      <c r="E155" s="43" t="s">
        <v>731</v>
      </c>
      <c r="F155" s="43" t="s">
        <v>728</v>
      </c>
      <c r="G155" s="43" t="s">
        <v>732</v>
      </c>
      <c r="H155" s="44" t="s">
        <v>733</v>
      </c>
      <c r="I155" s="44" t="s">
        <v>734</v>
      </c>
      <c r="J155" s="44">
        <v>0</v>
      </c>
      <c r="K155" s="44">
        <v>1</v>
      </c>
      <c r="L155" s="44">
        <v>2</v>
      </c>
      <c r="M155" s="33"/>
      <c r="N155" s="45"/>
      <c r="O155" s="32">
        <v>4093</v>
      </c>
      <c r="P155" s="34">
        <v>45396.474722222221</v>
      </c>
    </row>
    <row r="156" spans="2:26" x14ac:dyDescent="0.25">
      <c r="B156" s="46">
        <v>1</v>
      </c>
      <c r="C156" s="47" t="s">
        <v>355</v>
      </c>
      <c r="D156" s="48" t="s">
        <v>28</v>
      </c>
      <c r="E156" s="49">
        <v>2</v>
      </c>
      <c r="F156" s="50">
        <v>250</v>
      </c>
      <c r="G156" s="51">
        <v>500</v>
      </c>
      <c r="H156" s="52">
        <v>-2</v>
      </c>
      <c r="I156" s="53">
        <v>127</v>
      </c>
      <c r="J156" s="54">
        <v>180</v>
      </c>
      <c r="K156" s="54">
        <v>144</v>
      </c>
      <c r="L156" s="54">
        <v>126</v>
      </c>
      <c r="M156" s="55">
        <v>1</v>
      </c>
      <c r="N156" s="56">
        <v>110</v>
      </c>
      <c r="O156" s="32">
        <v>4093</v>
      </c>
      <c r="P156" s="34">
        <v>45396.474722222221</v>
      </c>
      <c r="R156" s="57"/>
      <c r="S156" s="57"/>
      <c r="T156" s="57"/>
      <c r="U156" s="57"/>
      <c r="V156" s="57"/>
      <c r="W156" s="57"/>
      <c r="X156" s="57"/>
      <c r="Y156" s="57"/>
      <c r="Z156" s="57"/>
    </row>
    <row r="157" spans="2:26" x14ac:dyDescent="0.25">
      <c r="B157" s="48">
        <v>2</v>
      </c>
      <c r="C157" s="47" t="s">
        <v>105</v>
      </c>
      <c r="D157" s="48" t="s">
        <v>28</v>
      </c>
      <c r="E157" s="49">
        <v>1</v>
      </c>
      <c r="F157" s="50">
        <v>1200</v>
      </c>
      <c r="G157" s="51">
        <v>1200</v>
      </c>
      <c r="H157" s="58">
        <v>-1</v>
      </c>
      <c r="I157" s="53">
        <v>364</v>
      </c>
      <c r="J157" s="54">
        <v>1195</v>
      </c>
      <c r="K157" s="54">
        <v>1055</v>
      </c>
      <c r="L157" s="54">
        <v>984</v>
      </c>
      <c r="M157" s="55">
        <v>1</v>
      </c>
      <c r="N157" s="56">
        <v>110</v>
      </c>
      <c r="O157" s="32">
        <v>4093</v>
      </c>
      <c r="P157" s="34">
        <v>45396.474722222221</v>
      </c>
    </row>
    <row r="158" spans="2:26" x14ac:dyDescent="0.25">
      <c r="B158" s="48">
        <v>3</v>
      </c>
      <c r="C158" s="47" t="s">
        <v>99</v>
      </c>
      <c r="D158" s="48" t="s">
        <v>28</v>
      </c>
      <c r="E158" s="49">
        <v>3</v>
      </c>
      <c r="F158" s="50">
        <v>400</v>
      </c>
      <c r="G158" s="51">
        <v>1200</v>
      </c>
      <c r="H158" s="58">
        <v>-3</v>
      </c>
      <c r="I158" s="53">
        <v>167</v>
      </c>
      <c r="J158" s="54">
        <v>462</v>
      </c>
      <c r="K158" s="54">
        <v>370</v>
      </c>
      <c r="L158" s="54">
        <v>323</v>
      </c>
      <c r="M158" s="55">
        <v>1</v>
      </c>
      <c r="N158" s="56">
        <v>110</v>
      </c>
      <c r="O158" s="32">
        <v>4093</v>
      </c>
      <c r="P158" s="34">
        <v>45396.474722222221</v>
      </c>
    </row>
    <row r="159" spans="2:26" ht="15.75" x14ac:dyDescent="0.25">
      <c r="B159" s="59"/>
      <c r="C159" s="60"/>
      <c r="D159" s="60"/>
      <c r="E159" s="61" t="s">
        <v>735</v>
      </c>
      <c r="F159" s="62">
        <v>2900</v>
      </c>
      <c r="G159" s="62"/>
      <c r="H159" s="30"/>
      <c r="I159" s="30"/>
      <c r="J159" s="30"/>
      <c r="K159" s="30"/>
      <c r="L159" s="30"/>
      <c r="M159" s="63"/>
      <c r="N159" s="64"/>
      <c r="O159" s="32">
        <v>4093</v>
      </c>
      <c r="P159" s="34">
        <v>45396.474722222221</v>
      </c>
    </row>
    <row r="160" spans="2:26" x14ac:dyDescent="0.25">
      <c r="C160" s="25" t="s">
        <v>407</v>
      </c>
      <c r="D160" s="26" t="s">
        <v>723</v>
      </c>
      <c r="E160" s="27"/>
      <c r="F160" s="28">
        <v>4092</v>
      </c>
      <c r="G160" s="29"/>
      <c r="H160" s="30"/>
      <c r="I160" s="30"/>
      <c r="J160" s="31" t="s">
        <v>724</v>
      </c>
      <c r="K160" s="32" t="s">
        <v>725</v>
      </c>
      <c r="L160" s="32" t="s">
        <v>725</v>
      </c>
      <c r="M160" s="33" t="s">
        <v>726</v>
      </c>
      <c r="N160" s="33" t="s">
        <v>727</v>
      </c>
      <c r="O160" s="32">
        <v>4092</v>
      </c>
      <c r="P160" s="34">
        <v>45395.406481481485</v>
      </c>
    </row>
    <row r="161" spans="2:26" x14ac:dyDescent="0.25">
      <c r="E161" s="35"/>
      <c r="F161" s="36">
        <v>45395.406481481485</v>
      </c>
      <c r="G161" s="37"/>
      <c r="H161" s="30"/>
      <c r="I161" s="30"/>
      <c r="J161" s="31" t="s">
        <v>728</v>
      </c>
      <c r="K161" s="38">
        <v>0</v>
      </c>
      <c r="L161" s="39"/>
      <c r="M161" s="40">
        <v>1</v>
      </c>
      <c r="N161" s="41">
        <v>110</v>
      </c>
      <c r="O161" s="32">
        <v>4092</v>
      </c>
      <c r="P161" s="34">
        <v>45395.406481481485</v>
      </c>
    </row>
    <row r="162" spans="2:26" x14ac:dyDescent="0.25">
      <c r="B162" s="42"/>
      <c r="C162" s="43" t="s">
        <v>729</v>
      </c>
      <c r="D162" s="43" t="s">
        <v>730</v>
      </c>
      <c r="E162" s="43" t="s">
        <v>731</v>
      </c>
      <c r="F162" s="43" t="s">
        <v>728</v>
      </c>
      <c r="G162" s="43" t="s">
        <v>732</v>
      </c>
      <c r="H162" s="44" t="s">
        <v>733</v>
      </c>
      <c r="I162" s="44" t="s">
        <v>734</v>
      </c>
      <c r="J162" s="44">
        <v>0</v>
      </c>
      <c r="K162" s="44">
        <v>1</v>
      </c>
      <c r="L162" s="44">
        <v>2</v>
      </c>
      <c r="M162" s="33"/>
      <c r="N162" s="45"/>
      <c r="O162" s="32">
        <v>4092</v>
      </c>
      <c r="P162" s="34">
        <v>45395.406481481485</v>
      </c>
    </row>
    <row r="163" spans="2:26" x14ac:dyDescent="0.25">
      <c r="B163" s="46">
        <v>1</v>
      </c>
      <c r="C163" s="47" t="s">
        <v>110</v>
      </c>
      <c r="D163" s="48" t="s">
        <v>28</v>
      </c>
      <c r="E163" s="49">
        <v>3</v>
      </c>
      <c r="F163" s="50">
        <v>1350</v>
      </c>
      <c r="G163" s="51">
        <v>4050</v>
      </c>
      <c r="H163" s="52">
        <v>10</v>
      </c>
      <c r="I163" s="53">
        <v>370</v>
      </c>
      <c r="J163" s="54">
        <v>1498</v>
      </c>
      <c r="K163" s="54">
        <v>1322</v>
      </c>
      <c r="L163" s="54">
        <v>1234</v>
      </c>
      <c r="M163" s="55">
        <v>1</v>
      </c>
      <c r="N163" s="56">
        <v>110</v>
      </c>
      <c r="O163" s="32">
        <v>4092</v>
      </c>
      <c r="P163" s="34">
        <v>45395.406481481485</v>
      </c>
      <c r="R163" s="57"/>
      <c r="S163" s="57"/>
      <c r="T163" s="57"/>
      <c r="U163" s="57"/>
      <c r="V163" s="57"/>
      <c r="W163" s="57"/>
      <c r="X163" s="57"/>
      <c r="Y163" s="57"/>
      <c r="Z163" s="57"/>
    </row>
    <row r="164" spans="2:26" x14ac:dyDescent="0.25">
      <c r="B164" s="48">
        <v>2</v>
      </c>
      <c r="C164" s="47" t="s">
        <v>355</v>
      </c>
      <c r="D164" s="48" t="s">
        <v>28</v>
      </c>
      <c r="E164" s="49">
        <v>1</v>
      </c>
      <c r="F164" s="50">
        <v>250</v>
      </c>
      <c r="G164" s="51">
        <v>250</v>
      </c>
      <c r="H164" s="58">
        <v>-1</v>
      </c>
      <c r="I164" s="53">
        <v>127</v>
      </c>
      <c r="J164" s="54">
        <v>180</v>
      </c>
      <c r="K164" s="54">
        <v>144</v>
      </c>
      <c r="L164" s="54">
        <v>126</v>
      </c>
      <c r="M164" s="55">
        <v>1</v>
      </c>
      <c r="N164" s="56">
        <v>110</v>
      </c>
      <c r="O164" s="32">
        <v>4092</v>
      </c>
      <c r="P164" s="34">
        <v>45395.406481481485</v>
      </c>
    </row>
    <row r="165" spans="2:26" x14ac:dyDescent="0.25">
      <c r="B165" s="48">
        <v>3</v>
      </c>
      <c r="C165" s="47" t="s">
        <v>214</v>
      </c>
      <c r="D165" s="48" t="s">
        <v>28</v>
      </c>
      <c r="E165" s="49">
        <v>1</v>
      </c>
      <c r="F165" s="50">
        <v>400</v>
      </c>
      <c r="G165" s="51">
        <v>400</v>
      </c>
      <c r="H165" s="58">
        <v>-1</v>
      </c>
      <c r="I165" s="53">
        <v>170</v>
      </c>
      <c r="J165" s="54">
        <v>462</v>
      </c>
      <c r="K165" s="54">
        <v>370</v>
      </c>
      <c r="L165" s="54">
        <v>323</v>
      </c>
      <c r="M165" s="55">
        <v>1</v>
      </c>
      <c r="N165" s="56">
        <v>110</v>
      </c>
      <c r="O165" s="32">
        <v>4092</v>
      </c>
      <c r="P165" s="34">
        <v>45395.406481481485</v>
      </c>
    </row>
    <row r="166" spans="2:26" x14ac:dyDescent="0.25">
      <c r="B166" s="48">
        <v>4</v>
      </c>
      <c r="C166" s="47" t="s">
        <v>99</v>
      </c>
      <c r="D166" s="48" t="s">
        <v>28</v>
      </c>
      <c r="E166" s="49">
        <v>1</v>
      </c>
      <c r="F166" s="50">
        <v>400</v>
      </c>
      <c r="G166" s="51">
        <v>400</v>
      </c>
      <c r="H166" s="58">
        <v>-1</v>
      </c>
      <c r="I166" s="53">
        <v>167</v>
      </c>
      <c r="J166" s="54">
        <v>462</v>
      </c>
      <c r="K166" s="54">
        <v>370</v>
      </c>
      <c r="L166" s="54">
        <v>323</v>
      </c>
      <c r="M166" s="55">
        <v>1</v>
      </c>
      <c r="N166" s="56">
        <v>110</v>
      </c>
      <c r="O166" s="32">
        <v>4092</v>
      </c>
      <c r="P166" s="34">
        <v>45395.406481481485</v>
      </c>
    </row>
    <row r="167" spans="2:26" x14ac:dyDescent="0.25">
      <c r="B167" s="48">
        <v>5</v>
      </c>
      <c r="C167" s="47" t="s">
        <v>318</v>
      </c>
      <c r="D167" s="48" t="s">
        <v>28</v>
      </c>
      <c r="E167" s="49">
        <v>1</v>
      </c>
      <c r="F167" s="50">
        <v>150</v>
      </c>
      <c r="G167" s="51">
        <v>150</v>
      </c>
      <c r="H167" s="58">
        <v>-1</v>
      </c>
      <c r="I167" s="53">
        <v>116</v>
      </c>
      <c r="J167" s="54">
        <v>163</v>
      </c>
      <c r="K167" s="54">
        <v>130</v>
      </c>
      <c r="L167" s="54">
        <v>114</v>
      </c>
      <c r="M167" s="55">
        <v>1</v>
      </c>
      <c r="N167" s="56">
        <v>110</v>
      </c>
      <c r="O167" s="32">
        <v>4092</v>
      </c>
      <c r="P167" s="34">
        <v>45395.406481481485</v>
      </c>
    </row>
    <row r="168" spans="2:26" x14ac:dyDescent="0.25">
      <c r="B168" s="48">
        <v>6</v>
      </c>
      <c r="C168" s="47" t="s">
        <v>99</v>
      </c>
      <c r="D168" s="48" t="s">
        <v>28</v>
      </c>
      <c r="E168" s="49">
        <v>4</v>
      </c>
      <c r="F168" s="50">
        <v>400</v>
      </c>
      <c r="G168" s="51">
        <v>1600</v>
      </c>
      <c r="H168" s="58">
        <v>-4</v>
      </c>
      <c r="I168" s="53">
        <v>167</v>
      </c>
      <c r="J168" s="54">
        <v>462</v>
      </c>
      <c r="K168" s="54">
        <v>370</v>
      </c>
      <c r="L168" s="54">
        <v>323</v>
      </c>
      <c r="M168" s="55">
        <v>1</v>
      </c>
      <c r="N168" s="56">
        <v>110</v>
      </c>
      <c r="O168" s="32">
        <v>4092</v>
      </c>
      <c r="P168" s="34">
        <v>45395.406481481485</v>
      </c>
    </row>
    <row r="169" spans="2:26" ht="15.75" x14ac:dyDescent="0.25">
      <c r="B169" s="59"/>
      <c r="C169" s="60"/>
      <c r="D169" s="60"/>
      <c r="E169" s="61" t="s">
        <v>735</v>
      </c>
      <c r="F169" s="62">
        <v>6850</v>
      </c>
      <c r="G169" s="62"/>
      <c r="H169" s="30"/>
      <c r="I169" s="30"/>
      <c r="J169" s="30"/>
      <c r="K169" s="30"/>
      <c r="L169" s="30"/>
      <c r="M169" s="63"/>
      <c r="N169" s="64"/>
      <c r="O169" s="32">
        <v>4092</v>
      </c>
      <c r="P169" s="34">
        <v>45395.406481481485</v>
      </c>
    </row>
    <row r="170" spans="2:26" x14ac:dyDescent="0.25">
      <c r="C170" s="25" t="s">
        <v>459</v>
      </c>
      <c r="D170" s="26" t="s">
        <v>723</v>
      </c>
      <c r="E170" s="27"/>
      <c r="F170" s="28">
        <v>4091</v>
      </c>
      <c r="G170" s="29"/>
      <c r="H170" s="30"/>
      <c r="I170" s="30"/>
      <c r="J170" s="31" t="s">
        <v>724</v>
      </c>
      <c r="K170" s="32" t="s">
        <v>725</v>
      </c>
      <c r="L170" s="32" t="s">
        <v>725</v>
      </c>
      <c r="M170" s="33" t="s">
        <v>726</v>
      </c>
      <c r="N170" s="33" t="s">
        <v>727</v>
      </c>
      <c r="O170" s="32">
        <v>4091</v>
      </c>
      <c r="P170" s="34">
        <v>45394.404629629629</v>
      </c>
    </row>
    <row r="171" spans="2:26" x14ac:dyDescent="0.25">
      <c r="E171" s="35"/>
      <c r="F171" s="36">
        <v>45394.404629629629</v>
      </c>
      <c r="G171" s="37"/>
      <c r="H171" s="30"/>
      <c r="I171" s="30"/>
      <c r="J171" s="31" t="s">
        <v>728</v>
      </c>
      <c r="K171" s="38">
        <v>0</v>
      </c>
      <c r="L171" s="39"/>
      <c r="M171" s="40">
        <v>18</v>
      </c>
      <c r="N171" s="41">
        <v>110</v>
      </c>
      <c r="O171" s="32">
        <v>4091</v>
      </c>
      <c r="P171" s="34">
        <v>45394.404629629629</v>
      </c>
    </row>
    <row r="172" spans="2:26" x14ac:dyDescent="0.25">
      <c r="B172" s="42"/>
      <c r="C172" s="43" t="s">
        <v>729</v>
      </c>
      <c r="D172" s="43" t="s">
        <v>730</v>
      </c>
      <c r="E172" s="43" t="s">
        <v>731</v>
      </c>
      <c r="F172" s="43" t="s">
        <v>728</v>
      </c>
      <c r="G172" s="43" t="s">
        <v>732</v>
      </c>
      <c r="H172" s="44" t="s">
        <v>733</v>
      </c>
      <c r="I172" s="44" t="s">
        <v>734</v>
      </c>
      <c r="J172" s="44">
        <v>0</v>
      </c>
      <c r="K172" s="44">
        <v>1</v>
      </c>
      <c r="L172" s="44">
        <v>2</v>
      </c>
      <c r="M172" s="33"/>
      <c r="N172" s="45"/>
      <c r="O172" s="32">
        <v>4091</v>
      </c>
      <c r="P172" s="34">
        <v>45394.404629629629</v>
      </c>
    </row>
    <row r="173" spans="2:26" x14ac:dyDescent="0.25">
      <c r="B173" s="46">
        <v>1</v>
      </c>
      <c r="C173" s="47" t="s">
        <v>355</v>
      </c>
      <c r="D173" s="48" t="s">
        <v>28</v>
      </c>
      <c r="E173" s="49">
        <v>5</v>
      </c>
      <c r="F173" s="50">
        <v>200</v>
      </c>
      <c r="G173" s="51">
        <v>1000</v>
      </c>
      <c r="H173" s="52">
        <v>-5</v>
      </c>
      <c r="I173" s="53">
        <v>127</v>
      </c>
      <c r="J173" s="54">
        <v>180</v>
      </c>
      <c r="K173" s="54">
        <v>144</v>
      </c>
      <c r="L173" s="54">
        <v>126</v>
      </c>
      <c r="M173" s="55">
        <v>18</v>
      </c>
      <c r="N173" s="56">
        <v>110</v>
      </c>
      <c r="O173" s="32">
        <v>4091</v>
      </c>
      <c r="P173" s="34">
        <v>45394.404629629629</v>
      </c>
      <c r="R173" s="57"/>
      <c r="S173" s="57"/>
      <c r="T173" s="57"/>
      <c r="U173" s="57"/>
      <c r="V173" s="57"/>
      <c r="W173" s="57"/>
      <c r="X173" s="57"/>
      <c r="Y173" s="57"/>
      <c r="Z173" s="57"/>
    </row>
    <row r="174" spans="2:26" x14ac:dyDescent="0.25">
      <c r="B174" s="48">
        <v>2</v>
      </c>
      <c r="C174" s="47" t="s">
        <v>49</v>
      </c>
      <c r="D174" s="48" t="s">
        <v>5</v>
      </c>
      <c r="E174" s="49">
        <v>5</v>
      </c>
      <c r="F174" s="50">
        <v>300</v>
      </c>
      <c r="G174" s="51">
        <v>1500</v>
      </c>
      <c r="H174" s="58">
        <v>-5</v>
      </c>
      <c r="I174" s="53">
        <v>300</v>
      </c>
      <c r="J174" s="54">
        <v>729</v>
      </c>
      <c r="K174" s="54">
        <v>729</v>
      </c>
      <c r="L174" s="54">
        <v>729</v>
      </c>
      <c r="M174" s="55">
        <v>18</v>
      </c>
      <c r="N174" s="56">
        <v>110</v>
      </c>
      <c r="O174" s="32">
        <v>4091</v>
      </c>
      <c r="P174" s="34">
        <v>45394.404629629629</v>
      </c>
    </row>
    <row r="175" spans="2:26" x14ac:dyDescent="0.25">
      <c r="B175" s="48">
        <v>3</v>
      </c>
      <c r="C175" s="47" t="s">
        <v>18</v>
      </c>
      <c r="D175" s="48" t="s">
        <v>5</v>
      </c>
      <c r="E175" s="49">
        <v>1</v>
      </c>
      <c r="F175" s="50">
        <v>450</v>
      </c>
      <c r="G175" s="51">
        <v>450</v>
      </c>
      <c r="H175" s="58">
        <v>-1</v>
      </c>
      <c r="I175" s="53">
        <v>8</v>
      </c>
      <c r="J175" s="54">
        <v>274</v>
      </c>
      <c r="K175" s="54">
        <v>229</v>
      </c>
      <c r="L175" s="54">
        <v>217</v>
      </c>
      <c r="M175" s="55">
        <v>18</v>
      </c>
      <c r="N175" s="56">
        <v>110</v>
      </c>
      <c r="O175" s="32">
        <v>4091</v>
      </c>
      <c r="P175" s="34">
        <v>45394.404629629629</v>
      </c>
    </row>
    <row r="176" spans="2:26" ht="15.75" x14ac:dyDescent="0.25">
      <c r="B176" s="59"/>
      <c r="C176" s="60"/>
      <c r="D176" s="60"/>
      <c r="E176" s="61" t="s">
        <v>735</v>
      </c>
      <c r="F176" s="62">
        <v>2950</v>
      </c>
      <c r="G176" s="62"/>
      <c r="H176" s="30"/>
      <c r="I176" s="30"/>
      <c r="J176" s="30"/>
      <c r="K176" s="30"/>
      <c r="L176" s="30"/>
      <c r="M176" s="63"/>
      <c r="N176" s="64"/>
      <c r="O176" s="32">
        <v>4091</v>
      </c>
      <c r="P176" s="34">
        <v>45394.404629629629</v>
      </c>
    </row>
    <row r="177" spans="2:26" x14ac:dyDescent="0.25">
      <c r="C177" s="25" t="s">
        <v>407</v>
      </c>
      <c r="D177" s="26" t="s">
        <v>723</v>
      </c>
      <c r="E177" s="27"/>
      <c r="F177" s="28">
        <v>4090</v>
      </c>
      <c r="G177" s="29"/>
      <c r="H177" s="30"/>
      <c r="I177" s="30"/>
      <c r="J177" s="31" t="s">
        <v>724</v>
      </c>
      <c r="K177" s="32" t="s">
        <v>725</v>
      </c>
      <c r="L177" s="32" t="s">
        <v>725</v>
      </c>
      <c r="M177" s="33" t="s">
        <v>726</v>
      </c>
      <c r="N177" s="33" t="s">
        <v>727</v>
      </c>
      <c r="O177" s="32">
        <v>4090</v>
      </c>
      <c r="P177" s="34">
        <v>45394.404629629629</v>
      </c>
    </row>
    <row r="178" spans="2:26" x14ac:dyDescent="0.25">
      <c r="E178" s="35"/>
      <c r="F178" s="36">
        <v>45394.404629629629</v>
      </c>
      <c r="G178" s="37"/>
      <c r="H178" s="30"/>
      <c r="I178" s="30"/>
      <c r="J178" s="31" t="s">
        <v>728</v>
      </c>
      <c r="K178" s="38">
        <v>0</v>
      </c>
      <c r="L178" s="39"/>
      <c r="M178" s="40">
        <v>1</v>
      </c>
      <c r="N178" s="41">
        <v>110</v>
      </c>
      <c r="O178" s="32">
        <v>4090</v>
      </c>
      <c r="P178" s="34">
        <v>45394.404629629629</v>
      </c>
    </row>
    <row r="179" spans="2:26" x14ac:dyDescent="0.25">
      <c r="B179" s="42"/>
      <c r="C179" s="43" t="s">
        <v>729</v>
      </c>
      <c r="D179" s="43" t="s">
        <v>730</v>
      </c>
      <c r="E179" s="43" t="s">
        <v>731</v>
      </c>
      <c r="F179" s="43" t="s">
        <v>728</v>
      </c>
      <c r="G179" s="43" t="s">
        <v>732</v>
      </c>
      <c r="H179" s="44" t="s">
        <v>733</v>
      </c>
      <c r="I179" s="44" t="s">
        <v>734</v>
      </c>
      <c r="J179" s="44">
        <v>0</v>
      </c>
      <c r="K179" s="44">
        <v>1</v>
      </c>
      <c r="L179" s="44">
        <v>2</v>
      </c>
      <c r="M179" s="33"/>
      <c r="N179" s="45"/>
      <c r="O179" s="32">
        <v>4090</v>
      </c>
      <c r="P179" s="34">
        <v>45394.404629629629</v>
      </c>
    </row>
    <row r="180" spans="2:26" x14ac:dyDescent="0.25">
      <c r="B180" s="46">
        <v>1</v>
      </c>
      <c r="C180" s="47" t="s">
        <v>99</v>
      </c>
      <c r="D180" s="48" t="s">
        <v>28</v>
      </c>
      <c r="E180" s="49">
        <v>5</v>
      </c>
      <c r="F180" s="50">
        <v>350</v>
      </c>
      <c r="G180" s="51">
        <v>1750</v>
      </c>
      <c r="H180" s="52">
        <v>-5</v>
      </c>
      <c r="I180" s="53">
        <v>167</v>
      </c>
      <c r="J180" s="54">
        <v>462</v>
      </c>
      <c r="K180" s="54">
        <v>370</v>
      </c>
      <c r="L180" s="54">
        <v>323</v>
      </c>
      <c r="M180" s="55">
        <v>1</v>
      </c>
      <c r="N180" s="56">
        <v>110</v>
      </c>
      <c r="O180" s="32">
        <v>4090</v>
      </c>
      <c r="P180" s="34">
        <v>45394.404629629629</v>
      </c>
      <c r="R180" s="57"/>
      <c r="S180" s="57"/>
      <c r="T180" s="57"/>
      <c r="U180" s="57"/>
      <c r="V180" s="57"/>
      <c r="W180" s="57"/>
      <c r="X180" s="57"/>
      <c r="Y180" s="57"/>
      <c r="Z180" s="57"/>
    </row>
    <row r="181" spans="2:26" x14ac:dyDescent="0.25">
      <c r="B181" s="48">
        <v>2</v>
      </c>
      <c r="C181" s="47" t="s">
        <v>99</v>
      </c>
      <c r="D181" s="48" t="s">
        <v>28</v>
      </c>
      <c r="E181" s="49">
        <v>4</v>
      </c>
      <c r="F181" s="50">
        <v>400</v>
      </c>
      <c r="G181" s="51">
        <v>1600</v>
      </c>
      <c r="H181" s="58">
        <v>-4</v>
      </c>
      <c r="I181" s="53">
        <v>167</v>
      </c>
      <c r="J181" s="54">
        <v>462</v>
      </c>
      <c r="K181" s="54">
        <v>370</v>
      </c>
      <c r="L181" s="54">
        <v>323</v>
      </c>
      <c r="M181" s="55">
        <v>1</v>
      </c>
      <c r="N181" s="56">
        <v>110</v>
      </c>
      <c r="O181" s="32">
        <v>4090</v>
      </c>
      <c r="P181" s="34">
        <v>45394.404629629629</v>
      </c>
    </row>
    <row r="182" spans="2:26" x14ac:dyDescent="0.25">
      <c r="B182" s="48">
        <v>3</v>
      </c>
      <c r="C182" s="47" t="s">
        <v>355</v>
      </c>
      <c r="D182" s="48" t="s">
        <v>28</v>
      </c>
      <c r="E182" s="49">
        <v>2</v>
      </c>
      <c r="F182" s="50">
        <v>250</v>
      </c>
      <c r="G182" s="51">
        <v>500</v>
      </c>
      <c r="H182" s="58">
        <v>-2</v>
      </c>
      <c r="I182" s="53">
        <v>127</v>
      </c>
      <c r="J182" s="54">
        <v>180</v>
      </c>
      <c r="K182" s="54">
        <v>144</v>
      </c>
      <c r="L182" s="54">
        <v>126</v>
      </c>
      <c r="M182" s="55">
        <v>1</v>
      </c>
      <c r="N182" s="56">
        <v>110</v>
      </c>
      <c r="O182" s="32">
        <v>4090</v>
      </c>
      <c r="P182" s="34">
        <v>45394.404629629629</v>
      </c>
    </row>
    <row r="183" spans="2:26" x14ac:dyDescent="0.25">
      <c r="B183" s="48">
        <v>4</v>
      </c>
      <c r="C183" s="47" t="s">
        <v>215</v>
      </c>
      <c r="D183" s="48" t="s">
        <v>28</v>
      </c>
      <c r="E183" s="49">
        <v>1</v>
      </c>
      <c r="F183" s="50">
        <v>300</v>
      </c>
      <c r="G183" s="51">
        <v>300</v>
      </c>
      <c r="H183" s="58">
        <v>-1</v>
      </c>
      <c r="I183" s="53">
        <v>187</v>
      </c>
      <c r="J183" s="54">
        <v>462</v>
      </c>
      <c r="K183" s="54">
        <v>370</v>
      </c>
      <c r="L183" s="54">
        <v>323</v>
      </c>
      <c r="M183" s="55">
        <v>1</v>
      </c>
      <c r="N183" s="56">
        <v>110</v>
      </c>
      <c r="O183" s="32">
        <v>4090</v>
      </c>
      <c r="P183" s="34">
        <v>45394.404629629629</v>
      </c>
    </row>
    <row r="184" spans="2:26" ht="15.75" x14ac:dyDescent="0.25">
      <c r="B184" s="59"/>
      <c r="C184" s="60"/>
      <c r="D184" s="60"/>
      <c r="E184" s="61" t="s">
        <v>735</v>
      </c>
      <c r="F184" s="62">
        <v>4150</v>
      </c>
      <c r="G184" s="62"/>
      <c r="H184" s="30"/>
      <c r="I184" s="30"/>
      <c r="J184" s="30"/>
      <c r="K184" s="30"/>
      <c r="L184" s="30"/>
      <c r="M184" s="63"/>
      <c r="N184" s="64"/>
      <c r="O184" s="32">
        <v>4090</v>
      </c>
      <c r="P184" s="34">
        <v>45394.404629629629</v>
      </c>
    </row>
    <row r="185" spans="2:26" x14ac:dyDescent="0.25">
      <c r="C185" s="25" t="s">
        <v>407</v>
      </c>
      <c r="D185" s="26" t="s">
        <v>723</v>
      </c>
      <c r="E185" s="27"/>
      <c r="F185" s="28">
        <v>4089</v>
      </c>
      <c r="G185" s="29"/>
      <c r="H185" s="30"/>
      <c r="I185" s="30"/>
      <c r="J185" s="31" t="s">
        <v>724</v>
      </c>
      <c r="K185" s="32" t="s">
        <v>725</v>
      </c>
      <c r="L185" s="32" t="s">
        <v>725</v>
      </c>
      <c r="M185" s="33" t="s">
        <v>726</v>
      </c>
      <c r="N185" s="33" t="s">
        <v>727</v>
      </c>
      <c r="O185" s="32">
        <v>4089</v>
      </c>
      <c r="P185" s="34">
        <v>45393.383043981485</v>
      </c>
    </row>
    <row r="186" spans="2:26" x14ac:dyDescent="0.25">
      <c r="E186" s="35"/>
      <c r="F186" s="36">
        <v>45393.383043981485</v>
      </c>
      <c r="G186" s="37"/>
      <c r="H186" s="30"/>
      <c r="I186" s="30"/>
      <c r="J186" s="31" t="s">
        <v>728</v>
      </c>
      <c r="K186" s="38">
        <v>0</v>
      </c>
      <c r="L186" s="39"/>
      <c r="M186" s="40">
        <v>1</v>
      </c>
      <c r="N186" s="41">
        <v>110</v>
      </c>
      <c r="O186" s="32">
        <v>4089</v>
      </c>
      <c r="P186" s="34">
        <v>45393.383043981485</v>
      </c>
    </row>
    <row r="187" spans="2:26" x14ac:dyDescent="0.25">
      <c r="B187" s="42"/>
      <c r="C187" s="43" t="s">
        <v>729</v>
      </c>
      <c r="D187" s="43" t="s">
        <v>730</v>
      </c>
      <c r="E187" s="43" t="s">
        <v>731</v>
      </c>
      <c r="F187" s="43" t="s">
        <v>728</v>
      </c>
      <c r="G187" s="43" t="s">
        <v>732</v>
      </c>
      <c r="H187" s="44" t="s">
        <v>733</v>
      </c>
      <c r="I187" s="44" t="s">
        <v>734</v>
      </c>
      <c r="J187" s="44">
        <v>0</v>
      </c>
      <c r="K187" s="44">
        <v>1</v>
      </c>
      <c r="L187" s="44">
        <v>2</v>
      </c>
      <c r="M187" s="33"/>
      <c r="N187" s="45"/>
      <c r="O187" s="32">
        <v>4089</v>
      </c>
      <c r="P187" s="34">
        <v>45393.383043981485</v>
      </c>
    </row>
    <row r="188" spans="2:26" x14ac:dyDescent="0.25">
      <c r="B188" s="46">
        <v>1</v>
      </c>
      <c r="C188" s="47" t="s">
        <v>355</v>
      </c>
      <c r="D188" s="48" t="s">
        <v>28</v>
      </c>
      <c r="E188" s="49">
        <v>3</v>
      </c>
      <c r="F188" s="50">
        <v>250</v>
      </c>
      <c r="G188" s="51">
        <v>750</v>
      </c>
      <c r="H188" s="52">
        <v>-3</v>
      </c>
      <c r="I188" s="53">
        <v>127</v>
      </c>
      <c r="J188" s="54">
        <v>180</v>
      </c>
      <c r="K188" s="54">
        <v>144</v>
      </c>
      <c r="L188" s="54">
        <v>126</v>
      </c>
      <c r="M188" s="55">
        <v>1</v>
      </c>
      <c r="N188" s="56">
        <v>110</v>
      </c>
      <c r="O188" s="32">
        <v>4089</v>
      </c>
      <c r="P188" s="34">
        <v>45393.383043981485</v>
      </c>
      <c r="R188" s="57"/>
      <c r="S188" s="57"/>
      <c r="T188" s="57"/>
      <c r="U188" s="57"/>
      <c r="V188" s="57"/>
      <c r="W188" s="57"/>
      <c r="X188" s="57"/>
      <c r="Y188" s="57"/>
      <c r="Z188" s="57"/>
    </row>
    <row r="189" spans="2:26" x14ac:dyDescent="0.25">
      <c r="B189" s="48">
        <v>2</v>
      </c>
      <c r="C189" s="47" t="s">
        <v>99</v>
      </c>
      <c r="D189" s="48" t="s">
        <v>28</v>
      </c>
      <c r="E189" s="49">
        <v>2</v>
      </c>
      <c r="F189" s="50">
        <v>400</v>
      </c>
      <c r="G189" s="51">
        <v>800</v>
      </c>
      <c r="H189" s="58">
        <v>-2</v>
      </c>
      <c r="I189" s="53">
        <v>167</v>
      </c>
      <c r="J189" s="54">
        <v>462</v>
      </c>
      <c r="K189" s="54">
        <v>370</v>
      </c>
      <c r="L189" s="54">
        <v>323</v>
      </c>
      <c r="M189" s="55">
        <v>1</v>
      </c>
      <c r="N189" s="56">
        <v>110</v>
      </c>
      <c r="O189" s="32">
        <v>4089</v>
      </c>
      <c r="P189" s="34">
        <v>45393.383043981485</v>
      </c>
    </row>
    <row r="190" spans="2:26" x14ac:dyDescent="0.25">
      <c r="B190" s="48">
        <v>3</v>
      </c>
      <c r="C190" s="47" t="s">
        <v>215</v>
      </c>
      <c r="D190" s="48" t="s">
        <v>28</v>
      </c>
      <c r="E190" s="49">
        <v>1</v>
      </c>
      <c r="F190" s="50">
        <v>300</v>
      </c>
      <c r="G190" s="51">
        <v>300</v>
      </c>
      <c r="H190" s="58">
        <v>-1</v>
      </c>
      <c r="I190" s="53">
        <v>187</v>
      </c>
      <c r="J190" s="54">
        <v>462</v>
      </c>
      <c r="K190" s="54">
        <v>370</v>
      </c>
      <c r="L190" s="54">
        <v>323</v>
      </c>
      <c r="M190" s="55">
        <v>1</v>
      </c>
      <c r="N190" s="56">
        <v>110</v>
      </c>
      <c r="O190" s="32">
        <v>4089</v>
      </c>
      <c r="P190" s="34">
        <v>45393.383043981485</v>
      </c>
    </row>
    <row r="191" spans="2:26" x14ac:dyDescent="0.25">
      <c r="B191" s="48">
        <v>4</v>
      </c>
      <c r="C191" s="47" t="s">
        <v>99</v>
      </c>
      <c r="D191" s="48" t="s">
        <v>28</v>
      </c>
      <c r="E191" s="49">
        <v>2</v>
      </c>
      <c r="F191" s="50">
        <v>400</v>
      </c>
      <c r="G191" s="51">
        <v>800</v>
      </c>
      <c r="H191" s="58">
        <v>-2</v>
      </c>
      <c r="I191" s="53">
        <v>167</v>
      </c>
      <c r="J191" s="54">
        <v>462</v>
      </c>
      <c r="K191" s="54">
        <v>370</v>
      </c>
      <c r="L191" s="54">
        <v>323</v>
      </c>
      <c r="M191" s="55">
        <v>1</v>
      </c>
      <c r="N191" s="56">
        <v>110</v>
      </c>
      <c r="O191" s="32">
        <v>4089</v>
      </c>
      <c r="P191" s="34">
        <v>45393.383043981485</v>
      </c>
    </row>
    <row r="192" spans="2:26" x14ac:dyDescent="0.25">
      <c r="B192" s="48">
        <v>5</v>
      </c>
      <c r="C192" s="47" t="s">
        <v>99</v>
      </c>
      <c r="D192" s="48" t="s">
        <v>28</v>
      </c>
      <c r="E192" s="49">
        <v>1</v>
      </c>
      <c r="F192" s="50">
        <v>400</v>
      </c>
      <c r="G192" s="51">
        <v>400</v>
      </c>
      <c r="H192" s="58">
        <v>-1</v>
      </c>
      <c r="I192" s="53">
        <v>167</v>
      </c>
      <c r="J192" s="54">
        <v>462</v>
      </c>
      <c r="K192" s="54">
        <v>370</v>
      </c>
      <c r="L192" s="54">
        <v>323</v>
      </c>
      <c r="M192" s="55">
        <v>1</v>
      </c>
      <c r="N192" s="56">
        <v>110</v>
      </c>
      <c r="O192" s="32">
        <v>4089</v>
      </c>
      <c r="P192" s="34">
        <v>45393.383043981485</v>
      </c>
    </row>
    <row r="193" spans="2:26" x14ac:dyDescent="0.25">
      <c r="B193" s="48">
        <v>6</v>
      </c>
      <c r="C193" s="47" t="s">
        <v>214</v>
      </c>
      <c r="D193" s="48" t="s">
        <v>28</v>
      </c>
      <c r="E193" s="49">
        <v>1</v>
      </c>
      <c r="F193" s="50">
        <v>500</v>
      </c>
      <c r="G193" s="51">
        <v>500</v>
      </c>
      <c r="H193" s="58">
        <v>-1</v>
      </c>
      <c r="I193" s="53">
        <v>170</v>
      </c>
      <c r="J193" s="54">
        <v>462</v>
      </c>
      <c r="K193" s="54">
        <v>370</v>
      </c>
      <c r="L193" s="54">
        <v>323</v>
      </c>
      <c r="M193" s="55">
        <v>1</v>
      </c>
      <c r="N193" s="56">
        <v>110</v>
      </c>
      <c r="O193" s="32">
        <v>4089</v>
      </c>
      <c r="P193" s="34">
        <v>45393.383043981485</v>
      </c>
    </row>
    <row r="194" spans="2:26" ht="15.75" x14ac:dyDescent="0.25">
      <c r="B194" s="59"/>
      <c r="C194" s="60"/>
      <c r="D194" s="60"/>
      <c r="E194" s="61" t="s">
        <v>735</v>
      </c>
      <c r="F194" s="62">
        <v>3550</v>
      </c>
      <c r="G194" s="62"/>
      <c r="H194" s="30"/>
      <c r="I194" s="30"/>
      <c r="J194" s="30"/>
      <c r="K194" s="30"/>
      <c r="L194" s="30"/>
      <c r="M194" s="63"/>
      <c r="N194" s="64"/>
      <c r="O194" s="32">
        <v>4089</v>
      </c>
      <c r="P194" s="34">
        <v>45393.383043981485</v>
      </c>
    </row>
    <row r="195" spans="2:26" x14ac:dyDescent="0.25">
      <c r="C195" s="25" t="s">
        <v>407</v>
      </c>
      <c r="D195" s="26" t="s">
        <v>723</v>
      </c>
      <c r="E195" s="27"/>
      <c r="F195" s="28">
        <v>4088</v>
      </c>
      <c r="G195" s="29"/>
      <c r="H195" s="30"/>
      <c r="I195" s="30"/>
      <c r="J195" s="31" t="s">
        <v>724</v>
      </c>
      <c r="K195" s="32" t="s">
        <v>725</v>
      </c>
      <c r="L195" s="32" t="s">
        <v>725</v>
      </c>
      <c r="M195" s="33" t="s">
        <v>726</v>
      </c>
      <c r="N195" s="33" t="s">
        <v>727</v>
      </c>
      <c r="O195" s="32">
        <v>4088</v>
      </c>
      <c r="P195" s="34">
        <v>45392.396840277775</v>
      </c>
    </row>
    <row r="196" spans="2:26" x14ac:dyDescent="0.25">
      <c r="E196" s="35"/>
      <c r="F196" s="36">
        <v>45392.396840277775</v>
      </c>
      <c r="G196" s="37"/>
      <c r="H196" s="30"/>
      <c r="I196" s="30"/>
      <c r="J196" s="31" t="s">
        <v>728</v>
      </c>
      <c r="K196" s="38">
        <v>0</v>
      </c>
      <c r="L196" s="39"/>
      <c r="M196" s="40">
        <v>1</v>
      </c>
      <c r="N196" s="41">
        <v>110</v>
      </c>
      <c r="O196" s="32">
        <v>4088</v>
      </c>
      <c r="P196" s="34">
        <v>45392.396840277775</v>
      </c>
    </row>
    <row r="197" spans="2:26" x14ac:dyDescent="0.25">
      <c r="B197" s="42"/>
      <c r="C197" s="43" t="s">
        <v>729</v>
      </c>
      <c r="D197" s="43" t="s">
        <v>730</v>
      </c>
      <c r="E197" s="43" t="s">
        <v>731</v>
      </c>
      <c r="F197" s="43" t="s">
        <v>728</v>
      </c>
      <c r="G197" s="43" t="s">
        <v>732</v>
      </c>
      <c r="H197" s="44" t="s">
        <v>733</v>
      </c>
      <c r="I197" s="44" t="s">
        <v>734</v>
      </c>
      <c r="J197" s="44">
        <v>0</v>
      </c>
      <c r="K197" s="44">
        <v>1</v>
      </c>
      <c r="L197" s="44">
        <v>2</v>
      </c>
      <c r="M197" s="33"/>
      <c r="N197" s="45"/>
      <c r="O197" s="32">
        <v>4088</v>
      </c>
      <c r="P197" s="34">
        <v>45392.396840277775</v>
      </c>
    </row>
    <row r="198" spans="2:26" x14ac:dyDescent="0.25">
      <c r="B198" s="46">
        <v>1</v>
      </c>
      <c r="C198" s="47" t="s">
        <v>355</v>
      </c>
      <c r="D198" s="48" t="s">
        <v>28</v>
      </c>
      <c r="E198" s="49">
        <v>3</v>
      </c>
      <c r="F198" s="50">
        <v>250</v>
      </c>
      <c r="G198" s="51">
        <v>750</v>
      </c>
      <c r="H198" s="52">
        <v>-3</v>
      </c>
      <c r="I198" s="53">
        <v>127</v>
      </c>
      <c r="J198" s="54">
        <v>180</v>
      </c>
      <c r="K198" s="54">
        <v>144</v>
      </c>
      <c r="L198" s="54">
        <v>126</v>
      </c>
      <c r="M198" s="55">
        <v>1</v>
      </c>
      <c r="N198" s="56">
        <v>110</v>
      </c>
      <c r="O198" s="32">
        <v>4088</v>
      </c>
      <c r="P198" s="34">
        <v>45392.396840277775</v>
      </c>
      <c r="R198" s="57"/>
      <c r="S198" s="57"/>
      <c r="T198" s="57"/>
      <c r="U198" s="57"/>
      <c r="V198" s="57"/>
      <c r="W198" s="57"/>
      <c r="X198" s="57"/>
      <c r="Y198" s="57"/>
      <c r="Z198" s="57"/>
    </row>
    <row r="199" spans="2:26" x14ac:dyDescent="0.25">
      <c r="B199" s="48">
        <v>2</v>
      </c>
      <c r="C199" s="47" t="s">
        <v>99</v>
      </c>
      <c r="D199" s="48" t="s">
        <v>28</v>
      </c>
      <c r="E199" s="49">
        <v>3</v>
      </c>
      <c r="F199" s="50">
        <v>400</v>
      </c>
      <c r="G199" s="51">
        <v>1200</v>
      </c>
      <c r="H199" s="58">
        <v>-3</v>
      </c>
      <c r="I199" s="53">
        <v>167</v>
      </c>
      <c r="J199" s="54">
        <v>462</v>
      </c>
      <c r="K199" s="54">
        <v>370</v>
      </c>
      <c r="L199" s="54">
        <v>323</v>
      </c>
      <c r="M199" s="55">
        <v>1</v>
      </c>
      <c r="N199" s="56">
        <v>110</v>
      </c>
      <c r="O199" s="32">
        <v>4088</v>
      </c>
      <c r="P199" s="34">
        <v>45392.396840277775</v>
      </c>
    </row>
    <row r="200" spans="2:26" x14ac:dyDescent="0.25">
      <c r="B200" s="48">
        <v>3</v>
      </c>
      <c r="C200" s="47" t="s">
        <v>318</v>
      </c>
      <c r="D200" s="48" t="s">
        <v>28</v>
      </c>
      <c r="E200" s="49">
        <v>1</v>
      </c>
      <c r="F200" s="50">
        <v>150</v>
      </c>
      <c r="G200" s="51">
        <v>150</v>
      </c>
      <c r="H200" s="58">
        <v>39</v>
      </c>
      <c r="I200" s="53">
        <v>116</v>
      </c>
      <c r="J200" s="54">
        <v>163</v>
      </c>
      <c r="K200" s="54">
        <v>130</v>
      </c>
      <c r="L200" s="54">
        <v>114</v>
      </c>
      <c r="M200" s="55">
        <v>1</v>
      </c>
      <c r="N200" s="56">
        <v>110</v>
      </c>
      <c r="O200" s="32">
        <v>4088</v>
      </c>
      <c r="P200" s="34">
        <v>45392.396840277775</v>
      </c>
    </row>
    <row r="201" spans="2:26" x14ac:dyDescent="0.25">
      <c r="B201" s="48">
        <v>4</v>
      </c>
      <c r="C201" s="47" t="s">
        <v>318</v>
      </c>
      <c r="D201" s="48" t="s">
        <v>28</v>
      </c>
      <c r="E201" s="49">
        <v>1</v>
      </c>
      <c r="F201" s="50">
        <v>150</v>
      </c>
      <c r="G201" s="51">
        <v>150</v>
      </c>
      <c r="H201" s="58">
        <v>-1</v>
      </c>
      <c r="I201" s="53">
        <v>116</v>
      </c>
      <c r="J201" s="54">
        <v>163</v>
      </c>
      <c r="K201" s="54">
        <v>130</v>
      </c>
      <c r="L201" s="54">
        <v>114</v>
      </c>
      <c r="M201" s="55">
        <v>1</v>
      </c>
      <c r="N201" s="56">
        <v>110</v>
      </c>
      <c r="O201" s="32">
        <v>4088</v>
      </c>
      <c r="P201" s="34">
        <v>45392.396840277775</v>
      </c>
    </row>
    <row r="202" spans="2:26" x14ac:dyDescent="0.25">
      <c r="B202" s="48">
        <v>5</v>
      </c>
      <c r="C202" s="47" t="s">
        <v>213</v>
      </c>
      <c r="D202" s="48" t="s">
        <v>28</v>
      </c>
      <c r="E202" s="49">
        <v>1</v>
      </c>
      <c r="F202" s="50">
        <v>300</v>
      </c>
      <c r="G202" s="51">
        <v>300</v>
      </c>
      <c r="H202" s="58">
        <v>39</v>
      </c>
      <c r="I202" s="53">
        <v>169</v>
      </c>
      <c r="J202" s="54">
        <v>462</v>
      </c>
      <c r="K202" s="54">
        <v>370</v>
      </c>
      <c r="L202" s="54">
        <v>323</v>
      </c>
      <c r="M202" s="55">
        <v>1</v>
      </c>
      <c r="N202" s="56">
        <v>110</v>
      </c>
      <c r="O202" s="32">
        <v>4088</v>
      </c>
      <c r="P202" s="34">
        <v>45392.396840277775</v>
      </c>
    </row>
    <row r="203" spans="2:26" x14ac:dyDescent="0.25">
      <c r="B203" s="48">
        <v>6</v>
      </c>
      <c r="C203" s="47" t="s">
        <v>215</v>
      </c>
      <c r="D203" s="48" t="s">
        <v>28</v>
      </c>
      <c r="E203" s="49">
        <v>1</v>
      </c>
      <c r="F203" s="50">
        <v>300</v>
      </c>
      <c r="G203" s="51">
        <v>300</v>
      </c>
      <c r="H203" s="58">
        <v>-1</v>
      </c>
      <c r="I203" s="53">
        <v>187</v>
      </c>
      <c r="J203" s="54">
        <v>462</v>
      </c>
      <c r="K203" s="54">
        <v>370</v>
      </c>
      <c r="L203" s="54">
        <v>323</v>
      </c>
      <c r="M203" s="55">
        <v>1</v>
      </c>
      <c r="N203" s="56">
        <v>110</v>
      </c>
      <c r="O203" s="32">
        <v>4088</v>
      </c>
      <c r="P203" s="34">
        <v>45392.396840277775</v>
      </c>
    </row>
    <row r="204" spans="2:26" x14ac:dyDescent="0.25">
      <c r="B204" s="48">
        <v>7</v>
      </c>
      <c r="C204" s="47" t="s">
        <v>99</v>
      </c>
      <c r="D204" s="48" t="s">
        <v>28</v>
      </c>
      <c r="E204" s="49">
        <v>1</v>
      </c>
      <c r="F204" s="50">
        <v>400</v>
      </c>
      <c r="G204" s="51">
        <v>400</v>
      </c>
      <c r="H204" s="58">
        <v>-1</v>
      </c>
      <c r="I204" s="53">
        <v>167</v>
      </c>
      <c r="J204" s="54">
        <v>462</v>
      </c>
      <c r="K204" s="54">
        <v>370</v>
      </c>
      <c r="L204" s="54">
        <v>323</v>
      </c>
      <c r="M204" s="55">
        <v>1</v>
      </c>
      <c r="N204" s="56">
        <v>110</v>
      </c>
      <c r="O204" s="32">
        <v>4088</v>
      </c>
      <c r="P204" s="34">
        <v>45392.396840277775</v>
      </c>
    </row>
    <row r="205" spans="2:26" x14ac:dyDescent="0.25">
      <c r="B205" s="48">
        <v>8</v>
      </c>
      <c r="C205" s="47" t="s">
        <v>213</v>
      </c>
      <c r="D205" s="48" t="s">
        <v>28</v>
      </c>
      <c r="E205" s="49">
        <v>1</v>
      </c>
      <c r="F205" s="50">
        <v>700</v>
      </c>
      <c r="G205" s="51">
        <v>700</v>
      </c>
      <c r="H205" s="58">
        <v>-1</v>
      </c>
      <c r="I205" s="53">
        <v>169</v>
      </c>
      <c r="J205" s="54">
        <v>462</v>
      </c>
      <c r="K205" s="54">
        <v>370</v>
      </c>
      <c r="L205" s="54">
        <v>323</v>
      </c>
      <c r="M205" s="55">
        <v>1</v>
      </c>
      <c r="N205" s="56">
        <v>110</v>
      </c>
      <c r="O205" s="32">
        <v>4088</v>
      </c>
      <c r="P205" s="34">
        <v>45392.396840277775</v>
      </c>
    </row>
    <row r="206" spans="2:26" x14ac:dyDescent="0.25">
      <c r="B206" s="48">
        <v>9</v>
      </c>
      <c r="C206" s="47" t="s">
        <v>10</v>
      </c>
      <c r="D206" s="48" t="s">
        <v>5</v>
      </c>
      <c r="E206" s="49">
        <v>1</v>
      </c>
      <c r="F206" s="50">
        <v>250</v>
      </c>
      <c r="G206" s="51">
        <v>250</v>
      </c>
      <c r="H206" s="58">
        <v>-1</v>
      </c>
      <c r="I206" s="53">
        <v>4</v>
      </c>
      <c r="J206" s="54">
        <v>248</v>
      </c>
      <c r="K206" s="54">
        <v>198</v>
      </c>
      <c r="L206" s="54">
        <v>188</v>
      </c>
      <c r="M206" s="55">
        <v>1</v>
      </c>
      <c r="N206" s="56">
        <v>110</v>
      </c>
      <c r="O206" s="32">
        <v>4088</v>
      </c>
      <c r="P206" s="34">
        <v>45392.396840277775</v>
      </c>
    </row>
    <row r="207" spans="2:26" x14ac:dyDescent="0.25">
      <c r="B207" s="48">
        <v>10</v>
      </c>
      <c r="C207" s="47" t="s">
        <v>99</v>
      </c>
      <c r="D207" s="48" t="s">
        <v>28</v>
      </c>
      <c r="E207" s="49">
        <v>1</v>
      </c>
      <c r="F207" s="50">
        <v>400</v>
      </c>
      <c r="G207" s="51">
        <v>400</v>
      </c>
      <c r="H207" s="65">
        <v>-1</v>
      </c>
      <c r="I207" s="53">
        <v>167</v>
      </c>
      <c r="J207" s="54">
        <v>462</v>
      </c>
      <c r="K207" s="54">
        <v>370</v>
      </c>
      <c r="L207" s="54">
        <v>323</v>
      </c>
      <c r="M207" s="55">
        <v>1</v>
      </c>
      <c r="N207" s="56">
        <v>110</v>
      </c>
      <c r="O207" s="32">
        <v>4088</v>
      </c>
      <c r="P207" s="34">
        <v>45392.396840277775</v>
      </c>
    </row>
    <row r="208" spans="2:26" ht="15.75" x14ac:dyDescent="0.25">
      <c r="B208" s="59"/>
      <c r="C208" s="60"/>
      <c r="D208" s="60"/>
      <c r="E208" s="61" t="s">
        <v>735</v>
      </c>
      <c r="F208" s="62">
        <v>4600</v>
      </c>
      <c r="G208" s="62"/>
      <c r="H208" s="30"/>
      <c r="I208" s="30"/>
      <c r="J208" s="30"/>
      <c r="K208" s="30"/>
      <c r="L208" s="30"/>
      <c r="M208" s="63"/>
      <c r="N208" s="64"/>
      <c r="O208" s="32">
        <v>4088</v>
      </c>
      <c r="P208" s="34">
        <v>45392.396840277775</v>
      </c>
    </row>
    <row r="209" spans="2:26" x14ac:dyDescent="0.25">
      <c r="C209" s="25" t="s">
        <v>407</v>
      </c>
      <c r="D209" s="26" t="s">
        <v>723</v>
      </c>
      <c r="E209" s="27"/>
      <c r="F209" s="28">
        <v>4087</v>
      </c>
      <c r="G209" s="29"/>
      <c r="H209" s="30"/>
      <c r="I209" s="30"/>
      <c r="J209" s="31" t="s">
        <v>724</v>
      </c>
      <c r="K209" s="32" t="s">
        <v>725</v>
      </c>
      <c r="L209" s="32" t="s">
        <v>725</v>
      </c>
      <c r="M209" s="33" t="s">
        <v>726</v>
      </c>
      <c r="N209" s="33" t="s">
        <v>727</v>
      </c>
      <c r="O209" s="32">
        <v>4087</v>
      </c>
      <c r="P209" s="34">
        <v>45391.561712962961</v>
      </c>
    </row>
    <row r="210" spans="2:26" x14ac:dyDescent="0.25">
      <c r="E210" s="35"/>
      <c r="F210" s="36">
        <v>45391.561712962961</v>
      </c>
      <c r="G210" s="37"/>
      <c r="H210" s="30"/>
      <c r="I210" s="30"/>
      <c r="J210" s="31" t="s">
        <v>728</v>
      </c>
      <c r="K210" s="38">
        <v>0</v>
      </c>
      <c r="L210" s="39"/>
      <c r="M210" s="40">
        <v>1</v>
      </c>
      <c r="N210" s="41">
        <v>110</v>
      </c>
      <c r="O210" s="32">
        <v>4087</v>
      </c>
      <c r="P210" s="34">
        <v>45391.561712962961</v>
      </c>
    </row>
    <row r="211" spans="2:26" x14ac:dyDescent="0.25">
      <c r="B211" s="42"/>
      <c r="C211" s="43" t="s">
        <v>729</v>
      </c>
      <c r="D211" s="43" t="s">
        <v>730</v>
      </c>
      <c r="E211" s="43" t="s">
        <v>731</v>
      </c>
      <c r="F211" s="43" t="s">
        <v>728</v>
      </c>
      <c r="G211" s="43" t="s">
        <v>732</v>
      </c>
      <c r="H211" s="44" t="s">
        <v>733</v>
      </c>
      <c r="I211" s="44" t="s">
        <v>734</v>
      </c>
      <c r="J211" s="44">
        <v>0</v>
      </c>
      <c r="K211" s="44">
        <v>1</v>
      </c>
      <c r="L211" s="44">
        <v>2</v>
      </c>
      <c r="M211" s="33"/>
      <c r="N211" s="45"/>
      <c r="O211" s="32">
        <v>4087</v>
      </c>
      <c r="P211" s="34">
        <v>45391.561712962961</v>
      </c>
    </row>
    <row r="212" spans="2:26" x14ac:dyDescent="0.25">
      <c r="B212" s="46">
        <v>1</v>
      </c>
      <c r="C212" s="47" t="s">
        <v>99</v>
      </c>
      <c r="D212" s="48" t="s">
        <v>28</v>
      </c>
      <c r="E212" s="49">
        <v>1</v>
      </c>
      <c r="F212" s="50">
        <v>400</v>
      </c>
      <c r="G212" s="51">
        <v>400</v>
      </c>
      <c r="H212" s="52">
        <v>-1</v>
      </c>
      <c r="I212" s="53">
        <v>167</v>
      </c>
      <c r="J212" s="54">
        <v>462</v>
      </c>
      <c r="K212" s="54">
        <v>370</v>
      </c>
      <c r="L212" s="54">
        <v>323</v>
      </c>
      <c r="M212" s="55">
        <v>1</v>
      </c>
      <c r="N212" s="56">
        <v>110</v>
      </c>
      <c r="O212" s="32">
        <v>4087</v>
      </c>
      <c r="P212" s="34">
        <v>45391.561712962961</v>
      </c>
      <c r="R212" s="57"/>
      <c r="S212" s="57"/>
      <c r="T212" s="57"/>
      <c r="U212" s="57"/>
      <c r="V212" s="57"/>
      <c r="W212" s="57"/>
      <c r="X212" s="57"/>
      <c r="Y212" s="57"/>
      <c r="Z212" s="57"/>
    </row>
    <row r="213" spans="2:26" x14ac:dyDescent="0.25">
      <c r="B213" s="48">
        <v>2</v>
      </c>
      <c r="C213" s="47" t="s">
        <v>308</v>
      </c>
      <c r="D213" s="48" t="s">
        <v>28</v>
      </c>
      <c r="E213" s="49">
        <v>1</v>
      </c>
      <c r="F213" s="50">
        <v>250</v>
      </c>
      <c r="G213" s="51">
        <v>250</v>
      </c>
      <c r="H213" s="58">
        <v>-1</v>
      </c>
      <c r="I213" s="53">
        <v>108</v>
      </c>
      <c r="J213" s="54">
        <v>136</v>
      </c>
      <c r="K213" s="54">
        <v>127</v>
      </c>
      <c r="L213" s="54">
        <v>118</v>
      </c>
      <c r="M213" s="55">
        <v>1</v>
      </c>
      <c r="N213" s="56">
        <v>110</v>
      </c>
      <c r="O213" s="32">
        <v>4087</v>
      </c>
      <c r="P213" s="34">
        <v>45391.561712962961</v>
      </c>
    </row>
    <row r="214" spans="2:26" x14ac:dyDescent="0.25">
      <c r="B214" s="48">
        <v>3</v>
      </c>
      <c r="C214" s="47" t="s">
        <v>355</v>
      </c>
      <c r="D214" s="48" t="s">
        <v>28</v>
      </c>
      <c r="E214" s="49">
        <v>4</v>
      </c>
      <c r="F214" s="50">
        <v>250</v>
      </c>
      <c r="G214" s="51">
        <v>1000</v>
      </c>
      <c r="H214" s="58">
        <v>-4</v>
      </c>
      <c r="I214" s="53">
        <v>127</v>
      </c>
      <c r="J214" s="54">
        <v>180</v>
      </c>
      <c r="K214" s="54">
        <v>144</v>
      </c>
      <c r="L214" s="54">
        <v>126</v>
      </c>
      <c r="M214" s="55">
        <v>1</v>
      </c>
      <c r="N214" s="56">
        <v>110</v>
      </c>
      <c r="O214" s="32">
        <v>4087</v>
      </c>
      <c r="P214" s="34">
        <v>45391.561712962961</v>
      </c>
    </row>
    <row r="215" spans="2:26" x14ac:dyDescent="0.25">
      <c r="B215" s="48">
        <v>4</v>
      </c>
      <c r="C215" s="47" t="s">
        <v>215</v>
      </c>
      <c r="D215" s="48" t="s">
        <v>28</v>
      </c>
      <c r="E215" s="49">
        <v>1</v>
      </c>
      <c r="F215" s="50">
        <v>300</v>
      </c>
      <c r="G215" s="51">
        <v>300</v>
      </c>
      <c r="H215" s="58">
        <v>-1</v>
      </c>
      <c r="I215" s="53">
        <v>187</v>
      </c>
      <c r="J215" s="54">
        <v>462</v>
      </c>
      <c r="K215" s="54">
        <v>370</v>
      </c>
      <c r="L215" s="54">
        <v>323</v>
      </c>
      <c r="M215" s="55">
        <v>1</v>
      </c>
      <c r="N215" s="56">
        <v>110</v>
      </c>
      <c r="O215" s="32">
        <v>4087</v>
      </c>
      <c r="P215" s="34">
        <v>45391.561712962961</v>
      </c>
    </row>
    <row r="216" spans="2:26" x14ac:dyDescent="0.25">
      <c r="B216" s="48">
        <v>5</v>
      </c>
      <c r="C216" s="47" t="s">
        <v>214</v>
      </c>
      <c r="D216" s="48" t="s">
        <v>28</v>
      </c>
      <c r="E216" s="49">
        <v>1</v>
      </c>
      <c r="F216" s="50">
        <v>300</v>
      </c>
      <c r="G216" s="51">
        <v>300</v>
      </c>
      <c r="H216" s="58">
        <v>-1</v>
      </c>
      <c r="I216" s="53">
        <v>170</v>
      </c>
      <c r="J216" s="54">
        <v>462</v>
      </c>
      <c r="K216" s="54">
        <v>370</v>
      </c>
      <c r="L216" s="54">
        <v>323</v>
      </c>
      <c r="M216" s="55">
        <v>1</v>
      </c>
      <c r="N216" s="56">
        <v>110</v>
      </c>
      <c r="O216" s="32">
        <v>4087</v>
      </c>
      <c r="P216" s="34">
        <v>45391.561712962961</v>
      </c>
    </row>
    <row r="217" spans="2:26" x14ac:dyDescent="0.25">
      <c r="B217" s="48">
        <v>6</v>
      </c>
      <c r="C217" s="47" t="s">
        <v>99</v>
      </c>
      <c r="D217" s="48" t="s">
        <v>28</v>
      </c>
      <c r="E217" s="49">
        <v>1</v>
      </c>
      <c r="F217" s="50">
        <v>400</v>
      </c>
      <c r="G217" s="51">
        <v>400</v>
      </c>
      <c r="H217" s="58">
        <v>-1</v>
      </c>
      <c r="I217" s="53">
        <v>167</v>
      </c>
      <c r="J217" s="54">
        <v>462</v>
      </c>
      <c r="K217" s="54">
        <v>370</v>
      </c>
      <c r="L217" s="54">
        <v>323</v>
      </c>
      <c r="M217" s="55">
        <v>1</v>
      </c>
      <c r="N217" s="56">
        <v>110</v>
      </c>
      <c r="O217" s="32">
        <v>4087</v>
      </c>
      <c r="P217" s="34">
        <v>45391.561712962961</v>
      </c>
    </row>
    <row r="218" spans="2:26" x14ac:dyDescent="0.25">
      <c r="B218" s="48">
        <v>7</v>
      </c>
      <c r="C218" s="47" t="s">
        <v>10</v>
      </c>
      <c r="D218" s="48" t="s">
        <v>5</v>
      </c>
      <c r="E218" s="49">
        <v>2</v>
      </c>
      <c r="F218" s="50">
        <v>250</v>
      </c>
      <c r="G218" s="51">
        <v>500</v>
      </c>
      <c r="H218" s="58">
        <v>-2</v>
      </c>
      <c r="I218" s="53">
        <v>4</v>
      </c>
      <c r="J218" s="54">
        <v>248</v>
      </c>
      <c r="K218" s="54">
        <v>198</v>
      </c>
      <c r="L218" s="54">
        <v>188</v>
      </c>
      <c r="M218" s="55">
        <v>1</v>
      </c>
      <c r="N218" s="56">
        <v>110</v>
      </c>
      <c r="O218" s="32">
        <v>4087</v>
      </c>
      <c r="P218" s="34">
        <v>45391.561712962961</v>
      </c>
    </row>
    <row r="219" spans="2:26" x14ac:dyDescent="0.25">
      <c r="B219" s="48">
        <v>8</v>
      </c>
      <c r="C219" s="47" t="s">
        <v>344</v>
      </c>
      <c r="D219" s="48" t="s">
        <v>28</v>
      </c>
      <c r="E219" s="49">
        <v>1</v>
      </c>
      <c r="F219" s="50">
        <v>250</v>
      </c>
      <c r="G219" s="51">
        <v>250</v>
      </c>
      <c r="H219" s="58">
        <v>-1</v>
      </c>
      <c r="I219" s="53">
        <v>117</v>
      </c>
      <c r="J219" s="54">
        <v>180</v>
      </c>
      <c r="K219" s="54">
        <v>144</v>
      </c>
      <c r="L219" s="54">
        <v>126</v>
      </c>
      <c r="M219" s="55">
        <v>1</v>
      </c>
      <c r="N219" s="56">
        <v>110</v>
      </c>
      <c r="O219" s="32">
        <v>4087</v>
      </c>
      <c r="P219" s="34">
        <v>45391.561712962961</v>
      </c>
    </row>
    <row r="220" spans="2:26" ht="15.75" x14ac:dyDescent="0.25">
      <c r="B220" s="59"/>
      <c r="C220" s="60"/>
      <c r="D220" s="60"/>
      <c r="E220" s="61" t="s">
        <v>735</v>
      </c>
      <c r="F220" s="62">
        <v>3400</v>
      </c>
      <c r="G220" s="62"/>
      <c r="H220" s="30"/>
      <c r="I220" s="30"/>
      <c r="J220" s="30"/>
      <c r="K220" s="30"/>
      <c r="L220" s="30"/>
      <c r="M220" s="63"/>
      <c r="N220" s="64"/>
      <c r="O220" s="32">
        <v>4087</v>
      </c>
      <c r="P220" s="34">
        <v>45391.561712962961</v>
      </c>
    </row>
    <row r="221" spans="2:26" x14ac:dyDescent="0.25">
      <c r="C221" s="25" t="s">
        <v>407</v>
      </c>
      <c r="D221" s="26" t="s">
        <v>723</v>
      </c>
      <c r="E221" s="27"/>
      <c r="F221" s="28">
        <v>4086</v>
      </c>
      <c r="G221" s="29"/>
      <c r="H221" s="30"/>
      <c r="I221" s="30"/>
      <c r="J221" s="31" t="s">
        <v>724</v>
      </c>
      <c r="K221" s="32" t="s">
        <v>725</v>
      </c>
      <c r="L221" s="32" t="s">
        <v>725</v>
      </c>
      <c r="M221" s="33" t="s">
        <v>726</v>
      </c>
      <c r="N221" s="33" t="s">
        <v>727</v>
      </c>
      <c r="O221" s="32">
        <v>4086</v>
      </c>
      <c r="P221" s="34">
        <v>45389.559548611112</v>
      </c>
    </row>
    <row r="222" spans="2:26" x14ac:dyDescent="0.25">
      <c r="E222" s="35"/>
      <c r="F222" s="36">
        <v>45389.559548611112</v>
      </c>
      <c r="G222" s="37"/>
      <c r="H222" s="30"/>
      <c r="I222" s="30"/>
      <c r="J222" s="31" t="s">
        <v>728</v>
      </c>
      <c r="K222" s="38">
        <v>0</v>
      </c>
      <c r="L222" s="39"/>
      <c r="M222" s="40">
        <v>1</v>
      </c>
      <c r="N222" s="41">
        <v>110</v>
      </c>
      <c r="O222" s="32">
        <v>4086</v>
      </c>
      <c r="P222" s="34">
        <v>45389.559548611112</v>
      </c>
    </row>
    <row r="223" spans="2:26" x14ac:dyDescent="0.25">
      <c r="B223" s="42"/>
      <c r="C223" s="43" t="s">
        <v>729</v>
      </c>
      <c r="D223" s="43" t="s">
        <v>730</v>
      </c>
      <c r="E223" s="43" t="s">
        <v>731</v>
      </c>
      <c r="F223" s="43" t="s">
        <v>728</v>
      </c>
      <c r="G223" s="43" t="s">
        <v>732</v>
      </c>
      <c r="H223" s="44" t="s">
        <v>733</v>
      </c>
      <c r="I223" s="44" t="s">
        <v>734</v>
      </c>
      <c r="J223" s="44">
        <v>0</v>
      </c>
      <c r="K223" s="44">
        <v>1</v>
      </c>
      <c r="L223" s="44">
        <v>2</v>
      </c>
      <c r="M223" s="33"/>
      <c r="N223" s="45"/>
      <c r="O223" s="32">
        <v>4086</v>
      </c>
      <c r="P223" s="34">
        <v>45389.559548611112</v>
      </c>
    </row>
    <row r="224" spans="2:26" x14ac:dyDescent="0.25">
      <c r="B224" s="46">
        <v>1</v>
      </c>
      <c r="C224" s="47" t="s">
        <v>213</v>
      </c>
      <c r="D224" s="48" t="s">
        <v>28</v>
      </c>
      <c r="E224" s="49">
        <v>1</v>
      </c>
      <c r="F224" s="50">
        <v>500</v>
      </c>
      <c r="G224" s="51">
        <v>500</v>
      </c>
      <c r="H224" s="52">
        <v>-1</v>
      </c>
      <c r="I224" s="53">
        <v>169</v>
      </c>
      <c r="J224" s="54">
        <v>462</v>
      </c>
      <c r="K224" s="54">
        <v>370</v>
      </c>
      <c r="L224" s="54">
        <v>323</v>
      </c>
      <c r="M224" s="55">
        <v>1</v>
      </c>
      <c r="N224" s="56">
        <v>110</v>
      </c>
      <c r="O224" s="32">
        <v>4086</v>
      </c>
      <c r="P224" s="34">
        <v>45389.559548611112</v>
      </c>
      <c r="R224" s="57"/>
      <c r="S224" s="57"/>
      <c r="T224" s="57"/>
      <c r="U224" s="57"/>
      <c r="V224" s="57"/>
      <c r="W224" s="57"/>
      <c r="X224" s="57"/>
      <c r="Y224" s="57"/>
      <c r="Z224" s="57"/>
    </row>
    <row r="225" spans="2:26" x14ac:dyDescent="0.25">
      <c r="B225" s="48">
        <v>2</v>
      </c>
      <c r="C225" s="47" t="s">
        <v>355</v>
      </c>
      <c r="D225" s="48" t="s">
        <v>28</v>
      </c>
      <c r="E225" s="49">
        <v>2</v>
      </c>
      <c r="F225" s="50">
        <v>250</v>
      </c>
      <c r="G225" s="51">
        <v>500</v>
      </c>
      <c r="H225" s="58">
        <v>-2</v>
      </c>
      <c r="I225" s="53">
        <v>127</v>
      </c>
      <c r="J225" s="54">
        <v>180</v>
      </c>
      <c r="K225" s="54">
        <v>144</v>
      </c>
      <c r="L225" s="54">
        <v>126</v>
      </c>
      <c r="M225" s="55">
        <v>1</v>
      </c>
      <c r="N225" s="56">
        <v>110</v>
      </c>
      <c r="O225" s="32">
        <v>4086</v>
      </c>
      <c r="P225" s="34">
        <v>45389.559548611112</v>
      </c>
    </row>
    <row r="226" spans="2:26" x14ac:dyDescent="0.25">
      <c r="B226" s="48">
        <v>3</v>
      </c>
      <c r="C226" s="47" t="s">
        <v>99</v>
      </c>
      <c r="D226" s="48" t="s">
        <v>28</v>
      </c>
      <c r="E226" s="49">
        <v>2</v>
      </c>
      <c r="F226" s="50">
        <v>400</v>
      </c>
      <c r="G226" s="51">
        <v>800</v>
      </c>
      <c r="H226" s="58">
        <v>-2</v>
      </c>
      <c r="I226" s="53">
        <v>167</v>
      </c>
      <c r="J226" s="54">
        <v>462</v>
      </c>
      <c r="K226" s="54">
        <v>370</v>
      </c>
      <c r="L226" s="54">
        <v>323</v>
      </c>
      <c r="M226" s="55">
        <v>1</v>
      </c>
      <c r="N226" s="56">
        <v>110</v>
      </c>
      <c r="O226" s="32">
        <v>4086</v>
      </c>
      <c r="P226" s="34">
        <v>45389.559548611112</v>
      </c>
    </row>
    <row r="227" spans="2:26" x14ac:dyDescent="0.25">
      <c r="B227" s="48">
        <v>4</v>
      </c>
      <c r="C227" s="47" t="s">
        <v>10</v>
      </c>
      <c r="D227" s="48" t="s">
        <v>5</v>
      </c>
      <c r="E227" s="49">
        <v>1</v>
      </c>
      <c r="F227" s="50">
        <v>250</v>
      </c>
      <c r="G227" s="51">
        <v>250</v>
      </c>
      <c r="H227" s="58">
        <v>-1</v>
      </c>
      <c r="I227" s="53">
        <v>4</v>
      </c>
      <c r="J227" s="54">
        <v>248</v>
      </c>
      <c r="K227" s="54">
        <v>198</v>
      </c>
      <c r="L227" s="54">
        <v>188</v>
      </c>
      <c r="M227" s="55">
        <v>1</v>
      </c>
      <c r="N227" s="56">
        <v>110</v>
      </c>
      <c r="O227" s="32">
        <v>4086</v>
      </c>
      <c r="P227" s="34">
        <v>45389.559548611112</v>
      </c>
    </row>
    <row r="228" spans="2:26" x14ac:dyDescent="0.25">
      <c r="B228" s="48">
        <v>5</v>
      </c>
      <c r="C228" s="47" t="s">
        <v>214</v>
      </c>
      <c r="D228" s="48" t="s">
        <v>28</v>
      </c>
      <c r="E228" s="49">
        <v>1</v>
      </c>
      <c r="F228" s="50">
        <v>500</v>
      </c>
      <c r="G228" s="51">
        <v>500</v>
      </c>
      <c r="H228" s="58">
        <v>-1</v>
      </c>
      <c r="I228" s="53">
        <v>170</v>
      </c>
      <c r="J228" s="54">
        <v>462</v>
      </c>
      <c r="K228" s="54">
        <v>370</v>
      </c>
      <c r="L228" s="54">
        <v>323</v>
      </c>
      <c r="M228" s="55">
        <v>1</v>
      </c>
      <c r="N228" s="56">
        <v>110</v>
      </c>
      <c r="O228" s="32">
        <v>4086</v>
      </c>
      <c r="P228" s="34">
        <v>45389.559548611112</v>
      </c>
    </row>
    <row r="229" spans="2:26" x14ac:dyDescent="0.25">
      <c r="B229" s="48">
        <v>6</v>
      </c>
      <c r="C229" s="47" t="s">
        <v>318</v>
      </c>
      <c r="D229" s="48" t="s">
        <v>28</v>
      </c>
      <c r="E229" s="49">
        <v>1</v>
      </c>
      <c r="F229" s="50">
        <v>150</v>
      </c>
      <c r="G229" s="51">
        <v>150</v>
      </c>
      <c r="H229" s="58">
        <v>-1</v>
      </c>
      <c r="I229" s="53">
        <v>116</v>
      </c>
      <c r="J229" s="54">
        <v>136</v>
      </c>
      <c r="K229" s="54">
        <v>127</v>
      </c>
      <c r="L229" s="54">
        <v>118</v>
      </c>
      <c r="M229" s="55">
        <v>1</v>
      </c>
      <c r="N229" s="56">
        <v>110</v>
      </c>
      <c r="O229" s="32">
        <v>4086</v>
      </c>
      <c r="P229" s="34">
        <v>45389.559548611112</v>
      </c>
    </row>
    <row r="230" spans="2:26" x14ac:dyDescent="0.25">
      <c r="B230" s="48">
        <v>7</v>
      </c>
      <c r="C230" s="47" t="s">
        <v>80</v>
      </c>
      <c r="D230" s="48" t="s">
        <v>28</v>
      </c>
      <c r="E230" s="49">
        <v>1</v>
      </c>
      <c r="F230" s="50">
        <v>100</v>
      </c>
      <c r="G230" s="51">
        <v>100</v>
      </c>
      <c r="H230" s="58">
        <v>29</v>
      </c>
      <c r="I230" s="53">
        <v>20</v>
      </c>
      <c r="J230" s="54">
        <v>125</v>
      </c>
      <c r="K230" s="54">
        <v>100</v>
      </c>
      <c r="L230" s="54">
        <v>100</v>
      </c>
      <c r="M230" s="55">
        <v>1</v>
      </c>
      <c r="N230" s="56">
        <v>110</v>
      </c>
      <c r="O230" s="32">
        <v>4086</v>
      </c>
      <c r="P230" s="34">
        <v>45389.559548611112</v>
      </c>
    </row>
    <row r="231" spans="2:26" x14ac:dyDescent="0.25">
      <c r="B231" s="48">
        <v>8</v>
      </c>
      <c r="C231" s="47" t="s">
        <v>72</v>
      </c>
      <c r="D231" s="48" t="s">
        <v>28</v>
      </c>
      <c r="E231" s="49">
        <v>1</v>
      </c>
      <c r="F231" s="50">
        <v>100</v>
      </c>
      <c r="G231" s="51">
        <v>100</v>
      </c>
      <c r="H231" s="58">
        <v>-1</v>
      </c>
      <c r="I231" s="53">
        <v>19</v>
      </c>
      <c r="J231" s="54">
        <v>125</v>
      </c>
      <c r="K231" s="54">
        <v>100</v>
      </c>
      <c r="L231" s="54">
        <v>88</v>
      </c>
      <c r="M231" s="55">
        <v>1</v>
      </c>
      <c r="N231" s="56">
        <v>110</v>
      </c>
      <c r="O231" s="32">
        <v>4086</v>
      </c>
      <c r="P231" s="34">
        <v>45389.559548611112</v>
      </c>
    </row>
    <row r="232" spans="2:26" x14ac:dyDescent="0.25">
      <c r="B232" s="48">
        <v>9</v>
      </c>
      <c r="C232" s="47" t="s">
        <v>10</v>
      </c>
      <c r="D232" s="48" t="s">
        <v>5</v>
      </c>
      <c r="E232" s="49">
        <v>1</v>
      </c>
      <c r="F232" s="50">
        <v>250</v>
      </c>
      <c r="G232" s="51">
        <v>250</v>
      </c>
      <c r="H232" s="58">
        <v>-1</v>
      </c>
      <c r="I232" s="53">
        <v>4</v>
      </c>
      <c r="J232" s="54">
        <v>248</v>
      </c>
      <c r="K232" s="54">
        <v>198</v>
      </c>
      <c r="L232" s="54">
        <v>188</v>
      </c>
      <c r="M232" s="55">
        <v>1</v>
      </c>
      <c r="N232" s="56">
        <v>110</v>
      </c>
      <c r="O232" s="32">
        <v>4086</v>
      </c>
      <c r="P232" s="34">
        <v>45389.559548611112</v>
      </c>
    </row>
    <row r="233" spans="2:26" x14ac:dyDescent="0.25">
      <c r="B233" s="48">
        <v>10</v>
      </c>
      <c r="C233" s="47" t="s">
        <v>43</v>
      </c>
      <c r="D233" s="48" t="s">
        <v>28</v>
      </c>
      <c r="E233" s="49">
        <v>1</v>
      </c>
      <c r="F233" s="50">
        <v>190</v>
      </c>
      <c r="G233" s="51">
        <v>190</v>
      </c>
      <c r="H233" s="65">
        <v>-1</v>
      </c>
      <c r="I233" s="53">
        <v>27</v>
      </c>
      <c r="J233" s="54">
        <v>191</v>
      </c>
      <c r="K233" s="54">
        <v>153</v>
      </c>
      <c r="L233" s="54">
        <v>145</v>
      </c>
      <c r="M233" s="55">
        <v>1</v>
      </c>
      <c r="N233" s="56">
        <v>110</v>
      </c>
      <c r="O233" s="32">
        <v>4086</v>
      </c>
      <c r="P233" s="34">
        <v>45389.559548611112</v>
      </c>
    </row>
    <row r="234" spans="2:26" ht="15.75" x14ac:dyDescent="0.25">
      <c r="B234" s="59"/>
      <c r="C234" s="60"/>
      <c r="D234" s="60"/>
      <c r="E234" s="61" t="s">
        <v>735</v>
      </c>
      <c r="F234" s="62">
        <v>3340</v>
      </c>
      <c r="G234" s="62"/>
      <c r="H234" s="30"/>
      <c r="I234" s="30"/>
      <c r="J234" s="30"/>
      <c r="K234" s="30"/>
      <c r="L234" s="30"/>
      <c r="M234" s="63"/>
      <c r="N234" s="64"/>
      <c r="O234" s="32">
        <v>4086</v>
      </c>
      <c r="P234" s="34">
        <v>45389.559548611112</v>
      </c>
    </row>
    <row r="235" spans="2:26" x14ac:dyDescent="0.25">
      <c r="C235" s="25" t="s">
        <v>407</v>
      </c>
      <c r="D235" s="26" t="s">
        <v>723</v>
      </c>
      <c r="E235" s="27"/>
      <c r="F235" s="28">
        <v>4085</v>
      </c>
      <c r="G235" s="29"/>
      <c r="H235" s="30"/>
      <c r="I235" s="30"/>
      <c r="J235" s="31" t="s">
        <v>724</v>
      </c>
      <c r="K235" s="32" t="s">
        <v>725</v>
      </c>
      <c r="L235" s="32" t="s">
        <v>725</v>
      </c>
      <c r="M235" s="33" t="s">
        <v>726</v>
      </c>
      <c r="N235" s="33" t="s">
        <v>727</v>
      </c>
      <c r="O235" s="32">
        <v>4085</v>
      </c>
      <c r="P235" s="34">
        <v>45388.557395833333</v>
      </c>
    </row>
    <row r="236" spans="2:26" x14ac:dyDescent="0.25">
      <c r="E236" s="35"/>
      <c r="F236" s="36">
        <v>45388.557395833333</v>
      </c>
      <c r="G236" s="37"/>
      <c r="H236" s="30"/>
      <c r="I236" s="30"/>
      <c r="J236" s="31" t="s">
        <v>728</v>
      </c>
      <c r="K236" s="38">
        <v>0</v>
      </c>
      <c r="L236" s="39"/>
      <c r="M236" s="40">
        <v>1</v>
      </c>
      <c r="N236" s="41">
        <v>110</v>
      </c>
      <c r="O236" s="32">
        <v>4085</v>
      </c>
      <c r="P236" s="34">
        <v>45388.557395833333</v>
      </c>
    </row>
    <row r="237" spans="2:26" x14ac:dyDescent="0.25">
      <c r="B237" s="42"/>
      <c r="C237" s="43" t="s">
        <v>729</v>
      </c>
      <c r="D237" s="43" t="s">
        <v>730</v>
      </c>
      <c r="E237" s="43" t="s">
        <v>731</v>
      </c>
      <c r="F237" s="43" t="s">
        <v>728</v>
      </c>
      <c r="G237" s="43" t="s">
        <v>732</v>
      </c>
      <c r="H237" s="44" t="s">
        <v>733</v>
      </c>
      <c r="I237" s="44" t="s">
        <v>734</v>
      </c>
      <c r="J237" s="44">
        <v>0</v>
      </c>
      <c r="K237" s="44">
        <v>1</v>
      </c>
      <c r="L237" s="44">
        <v>2</v>
      </c>
      <c r="M237" s="33"/>
      <c r="N237" s="45"/>
      <c r="O237" s="32">
        <v>4085</v>
      </c>
      <c r="P237" s="34">
        <v>45388.557395833333</v>
      </c>
    </row>
    <row r="238" spans="2:26" x14ac:dyDescent="0.25">
      <c r="B238" s="46">
        <v>1</v>
      </c>
      <c r="C238" s="47" t="s">
        <v>99</v>
      </c>
      <c r="D238" s="48" t="s">
        <v>28</v>
      </c>
      <c r="E238" s="49">
        <v>5</v>
      </c>
      <c r="F238" s="50">
        <v>400</v>
      </c>
      <c r="G238" s="51">
        <v>2000</v>
      </c>
      <c r="H238" s="52">
        <v>-5</v>
      </c>
      <c r="I238" s="53">
        <v>167</v>
      </c>
      <c r="J238" s="54">
        <v>462</v>
      </c>
      <c r="K238" s="54">
        <v>370</v>
      </c>
      <c r="L238" s="54">
        <v>323</v>
      </c>
      <c r="M238" s="55">
        <v>1</v>
      </c>
      <c r="N238" s="56">
        <v>110</v>
      </c>
      <c r="O238" s="32">
        <v>4085</v>
      </c>
      <c r="P238" s="34">
        <v>45388.557395833333</v>
      </c>
      <c r="R238" s="57"/>
      <c r="S238" s="57"/>
      <c r="T238" s="57"/>
      <c r="U238" s="57"/>
      <c r="V238" s="57"/>
      <c r="W238" s="57"/>
      <c r="X238" s="57"/>
      <c r="Y238" s="57"/>
      <c r="Z238" s="57"/>
    </row>
    <row r="239" spans="2:26" x14ac:dyDescent="0.25">
      <c r="B239" s="48">
        <v>2</v>
      </c>
      <c r="C239" s="47" t="s">
        <v>18</v>
      </c>
      <c r="D239" s="48" t="s">
        <v>5</v>
      </c>
      <c r="E239" s="49">
        <v>1</v>
      </c>
      <c r="F239" s="50">
        <v>300</v>
      </c>
      <c r="G239" s="51">
        <v>300</v>
      </c>
      <c r="H239" s="58">
        <v>-1</v>
      </c>
      <c r="I239" s="53">
        <v>8</v>
      </c>
      <c r="J239" s="54">
        <v>274</v>
      </c>
      <c r="K239" s="54">
        <v>229</v>
      </c>
      <c r="L239" s="54">
        <v>217</v>
      </c>
      <c r="M239" s="55">
        <v>1</v>
      </c>
      <c r="N239" s="56">
        <v>110</v>
      </c>
      <c r="O239" s="32">
        <v>4085</v>
      </c>
      <c r="P239" s="34">
        <v>45388.557395833333</v>
      </c>
    </row>
    <row r="240" spans="2:26" x14ac:dyDescent="0.25">
      <c r="B240" s="48">
        <v>3</v>
      </c>
      <c r="C240" s="47" t="s">
        <v>10</v>
      </c>
      <c r="D240" s="48" t="s">
        <v>5</v>
      </c>
      <c r="E240" s="49">
        <v>2</v>
      </c>
      <c r="F240" s="50">
        <v>250</v>
      </c>
      <c r="G240" s="51">
        <v>500</v>
      </c>
      <c r="H240" s="58">
        <v>-2</v>
      </c>
      <c r="I240" s="53">
        <v>4</v>
      </c>
      <c r="J240" s="54">
        <v>248</v>
      </c>
      <c r="K240" s="54">
        <v>198</v>
      </c>
      <c r="L240" s="54">
        <v>188</v>
      </c>
      <c r="M240" s="55">
        <v>1</v>
      </c>
      <c r="N240" s="56">
        <v>110</v>
      </c>
      <c r="O240" s="32">
        <v>4085</v>
      </c>
      <c r="P240" s="34">
        <v>45388.557395833333</v>
      </c>
    </row>
    <row r="241" spans="2:26" x14ac:dyDescent="0.25">
      <c r="B241" s="48">
        <v>4</v>
      </c>
      <c r="C241" s="47" t="s">
        <v>10</v>
      </c>
      <c r="D241" s="48" t="s">
        <v>5</v>
      </c>
      <c r="E241" s="49">
        <v>1</v>
      </c>
      <c r="F241" s="50">
        <v>250</v>
      </c>
      <c r="G241" s="51">
        <v>250</v>
      </c>
      <c r="H241" s="58">
        <v>-1</v>
      </c>
      <c r="I241" s="53">
        <v>4</v>
      </c>
      <c r="J241" s="54">
        <v>248</v>
      </c>
      <c r="K241" s="54">
        <v>198</v>
      </c>
      <c r="L241" s="54">
        <v>188</v>
      </c>
      <c r="M241" s="55">
        <v>1</v>
      </c>
      <c r="N241" s="56">
        <v>110</v>
      </c>
      <c r="O241" s="32">
        <v>4085</v>
      </c>
      <c r="P241" s="34">
        <v>45388.557395833333</v>
      </c>
    </row>
    <row r="242" spans="2:26" ht="15.75" x14ac:dyDescent="0.25">
      <c r="B242" s="59"/>
      <c r="C242" s="60"/>
      <c r="D242" s="60"/>
      <c r="E242" s="61" t="s">
        <v>735</v>
      </c>
      <c r="F242" s="62">
        <v>3050</v>
      </c>
      <c r="G242" s="62"/>
      <c r="H242" s="30"/>
      <c r="I242" s="30"/>
      <c r="J242" s="30"/>
      <c r="K242" s="30"/>
      <c r="L242" s="30"/>
      <c r="M242" s="63"/>
      <c r="N242" s="64"/>
      <c r="O242" s="32">
        <v>4085</v>
      </c>
      <c r="P242" s="34">
        <v>45388.557395833333</v>
      </c>
    </row>
    <row r="243" spans="2:26" x14ac:dyDescent="0.25">
      <c r="C243" s="25" t="s">
        <v>407</v>
      </c>
      <c r="D243" s="26" t="s">
        <v>723</v>
      </c>
      <c r="E243" s="27"/>
      <c r="F243" s="28">
        <v>4084</v>
      </c>
      <c r="G243" s="29"/>
      <c r="H243" s="30"/>
      <c r="I243" s="30"/>
      <c r="J243" s="31" t="s">
        <v>724</v>
      </c>
      <c r="K243" s="32" t="s">
        <v>725</v>
      </c>
      <c r="L243" s="32" t="s">
        <v>725</v>
      </c>
      <c r="M243" s="33" t="s">
        <v>726</v>
      </c>
      <c r="N243" s="33" t="s">
        <v>727</v>
      </c>
      <c r="O243" s="32">
        <v>4084</v>
      </c>
      <c r="P243" s="34">
        <v>45387.74732638889</v>
      </c>
    </row>
    <row r="244" spans="2:26" x14ac:dyDescent="0.25">
      <c r="E244" s="35"/>
      <c r="F244" s="36">
        <v>45387.74732638889</v>
      </c>
      <c r="G244" s="37"/>
      <c r="H244" s="30"/>
      <c r="I244" s="30"/>
      <c r="J244" s="31" t="s">
        <v>728</v>
      </c>
      <c r="K244" s="38">
        <v>0</v>
      </c>
      <c r="L244" s="39"/>
      <c r="M244" s="40">
        <v>1</v>
      </c>
      <c r="N244" s="41">
        <v>110</v>
      </c>
      <c r="O244" s="32">
        <v>4084</v>
      </c>
      <c r="P244" s="34">
        <v>45387.74732638889</v>
      </c>
    </row>
    <row r="245" spans="2:26" x14ac:dyDescent="0.25">
      <c r="B245" s="42"/>
      <c r="C245" s="43" t="s">
        <v>729</v>
      </c>
      <c r="D245" s="43" t="s">
        <v>730</v>
      </c>
      <c r="E245" s="43" t="s">
        <v>731</v>
      </c>
      <c r="F245" s="43" t="s">
        <v>728</v>
      </c>
      <c r="G245" s="43" t="s">
        <v>732</v>
      </c>
      <c r="H245" s="44" t="s">
        <v>733</v>
      </c>
      <c r="I245" s="44" t="s">
        <v>734</v>
      </c>
      <c r="J245" s="44">
        <v>0</v>
      </c>
      <c r="K245" s="44">
        <v>1</v>
      </c>
      <c r="L245" s="44">
        <v>2</v>
      </c>
      <c r="M245" s="33"/>
      <c r="N245" s="45"/>
      <c r="O245" s="32">
        <v>4084</v>
      </c>
      <c r="P245" s="34">
        <v>45387.74732638889</v>
      </c>
    </row>
    <row r="246" spans="2:26" x14ac:dyDescent="0.25">
      <c r="B246" s="46">
        <v>1</v>
      </c>
      <c r="C246" s="47" t="s">
        <v>99</v>
      </c>
      <c r="D246" s="48" t="s">
        <v>28</v>
      </c>
      <c r="E246" s="49">
        <v>2</v>
      </c>
      <c r="F246" s="50">
        <v>400</v>
      </c>
      <c r="G246" s="51">
        <v>800</v>
      </c>
      <c r="H246" s="52">
        <v>-2</v>
      </c>
      <c r="I246" s="53">
        <v>167</v>
      </c>
      <c r="J246" s="54">
        <v>462</v>
      </c>
      <c r="K246" s="54">
        <v>370</v>
      </c>
      <c r="L246" s="54">
        <v>323</v>
      </c>
      <c r="M246" s="55">
        <v>1</v>
      </c>
      <c r="N246" s="56">
        <v>110</v>
      </c>
      <c r="O246" s="32">
        <v>4084</v>
      </c>
      <c r="P246" s="34">
        <v>45387.74732638889</v>
      </c>
      <c r="R246" s="57"/>
      <c r="S246" s="57"/>
      <c r="T246" s="57"/>
      <c r="U246" s="57"/>
      <c r="V246" s="57"/>
      <c r="W246" s="57"/>
      <c r="X246" s="57"/>
      <c r="Y246" s="57"/>
      <c r="Z246" s="57"/>
    </row>
    <row r="247" spans="2:26" x14ac:dyDescent="0.25">
      <c r="B247" s="48">
        <v>2</v>
      </c>
      <c r="C247" s="47" t="s">
        <v>215</v>
      </c>
      <c r="D247" s="48" t="s">
        <v>28</v>
      </c>
      <c r="E247" s="49">
        <v>1</v>
      </c>
      <c r="F247" s="50">
        <v>200</v>
      </c>
      <c r="G247" s="51">
        <v>200</v>
      </c>
      <c r="H247" s="58">
        <v>-1</v>
      </c>
      <c r="I247" s="53">
        <v>187</v>
      </c>
      <c r="J247" s="54">
        <v>462</v>
      </c>
      <c r="K247" s="54">
        <v>370</v>
      </c>
      <c r="L247" s="54">
        <v>323</v>
      </c>
      <c r="M247" s="55">
        <v>1</v>
      </c>
      <c r="N247" s="56">
        <v>110</v>
      </c>
      <c r="O247" s="32">
        <v>4084</v>
      </c>
      <c r="P247" s="34">
        <v>45387.74732638889</v>
      </c>
    </row>
    <row r="248" spans="2:26" x14ac:dyDescent="0.25">
      <c r="B248" s="48">
        <v>3</v>
      </c>
      <c r="C248" s="47" t="s">
        <v>214</v>
      </c>
      <c r="D248" s="48" t="s">
        <v>28</v>
      </c>
      <c r="E248" s="49">
        <v>1</v>
      </c>
      <c r="F248" s="50">
        <v>400</v>
      </c>
      <c r="G248" s="51">
        <v>400</v>
      </c>
      <c r="H248" s="58">
        <v>-1</v>
      </c>
      <c r="I248" s="53">
        <v>170</v>
      </c>
      <c r="J248" s="54">
        <v>462</v>
      </c>
      <c r="K248" s="54">
        <v>370</v>
      </c>
      <c r="L248" s="54">
        <v>323</v>
      </c>
      <c r="M248" s="55">
        <v>1</v>
      </c>
      <c r="N248" s="56">
        <v>110</v>
      </c>
      <c r="O248" s="32">
        <v>4084</v>
      </c>
      <c r="P248" s="34">
        <v>45387.74732638889</v>
      </c>
    </row>
    <row r="249" spans="2:26" x14ac:dyDescent="0.25">
      <c r="B249" s="48">
        <v>4</v>
      </c>
      <c r="C249" s="47" t="s">
        <v>355</v>
      </c>
      <c r="D249" s="48" t="s">
        <v>28</v>
      </c>
      <c r="E249" s="49">
        <v>1</v>
      </c>
      <c r="F249" s="50">
        <v>250</v>
      </c>
      <c r="G249" s="51">
        <v>250</v>
      </c>
      <c r="H249" s="58">
        <v>-1</v>
      </c>
      <c r="I249" s="53">
        <v>127</v>
      </c>
      <c r="J249" s="54">
        <v>180</v>
      </c>
      <c r="K249" s="54">
        <v>144</v>
      </c>
      <c r="L249" s="54">
        <v>126</v>
      </c>
      <c r="M249" s="55">
        <v>1</v>
      </c>
      <c r="N249" s="56">
        <v>110</v>
      </c>
      <c r="O249" s="32">
        <v>4084</v>
      </c>
      <c r="P249" s="34">
        <v>45387.74732638889</v>
      </c>
    </row>
    <row r="250" spans="2:26" x14ac:dyDescent="0.25">
      <c r="B250" s="48">
        <v>5</v>
      </c>
      <c r="C250" s="47" t="s">
        <v>214</v>
      </c>
      <c r="D250" s="48" t="s">
        <v>28</v>
      </c>
      <c r="E250" s="49">
        <v>1</v>
      </c>
      <c r="F250" s="50">
        <v>200</v>
      </c>
      <c r="G250" s="51">
        <v>200</v>
      </c>
      <c r="H250" s="58">
        <v>-1</v>
      </c>
      <c r="I250" s="53">
        <v>170</v>
      </c>
      <c r="J250" s="54">
        <v>462</v>
      </c>
      <c r="K250" s="54">
        <v>370</v>
      </c>
      <c r="L250" s="54">
        <v>323</v>
      </c>
      <c r="M250" s="55">
        <v>1</v>
      </c>
      <c r="N250" s="56">
        <v>110</v>
      </c>
      <c r="O250" s="32">
        <v>4084</v>
      </c>
      <c r="P250" s="34">
        <v>45387.74732638889</v>
      </c>
    </row>
    <row r="251" spans="2:26" x14ac:dyDescent="0.25">
      <c r="B251" s="48">
        <v>6</v>
      </c>
      <c r="C251" s="47" t="s">
        <v>261</v>
      </c>
      <c r="D251" s="48" t="s">
        <v>28</v>
      </c>
      <c r="E251" s="49">
        <v>1</v>
      </c>
      <c r="F251" s="50">
        <v>750</v>
      </c>
      <c r="G251" s="51">
        <v>750</v>
      </c>
      <c r="H251" s="58">
        <v>-1</v>
      </c>
      <c r="I251" s="53">
        <v>95</v>
      </c>
      <c r="J251" s="54">
        <v>572</v>
      </c>
      <c r="K251" s="54">
        <v>534</v>
      </c>
      <c r="L251" s="54">
        <v>495</v>
      </c>
      <c r="M251" s="55">
        <v>1</v>
      </c>
      <c r="N251" s="56">
        <v>110</v>
      </c>
      <c r="O251" s="32">
        <v>4084</v>
      </c>
      <c r="P251" s="34">
        <v>45387.74732638889</v>
      </c>
    </row>
    <row r="252" spans="2:26" ht="15.75" x14ac:dyDescent="0.25">
      <c r="B252" s="59"/>
      <c r="C252" s="60"/>
      <c r="D252" s="60"/>
      <c r="E252" s="61" t="s">
        <v>735</v>
      </c>
      <c r="F252" s="62">
        <v>2600</v>
      </c>
      <c r="G252" s="62"/>
      <c r="H252" s="30"/>
      <c r="I252" s="30"/>
      <c r="J252" s="30"/>
      <c r="K252" s="30"/>
      <c r="L252" s="30"/>
      <c r="M252" s="63"/>
      <c r="N252" s="64"/>
      <c r="O252" s="32">
        <v>4084</v>
      </c>
      <c r="P252" s="34">
        <v>45387.74732638889</v>
      </c>
    </row>
    <row r="253" spans="2:26" x14ac:dyDescent="0.25">
      <c r="C253" s="25" t="s">
        <v>407</v>
      </c>
      <c r="D253" s="26" t="s">
        <v>723</v>
      </c>
      <c r="E253" s="27"/>
      <c r="F253" s="28">
        <v>4083</v>
      </c>
      <c r="G253" s="29"/>
      <c r="H253" s="30"/>
      <c r="I253" s="30"/>
      <c r="J253" s="31" t="s">
        <v>724</v>
      </c>
      <c r="K253" s="32" t="s">
        <v>725</v>
      </c>
      <c r="L253" s="32" t="s">
        <v>725</v>
      </c>
      <c r="M253" s="33" t="s">
        <v>726</v>
      </c>
      <c r="N253" s="33" t="s">
        <v>727</v>
      </c>
      <c r="O253" s="32">
        <v>4083</v>
      </c>
      <c r="P253" s="34">
        <v>45386.745625000003</v>
      </c>
    </row>
    <row r="254" spans="2:26" x14ac:dyDescent="0.25">
      <c r="E254" s="35"/>
      <c r="F254" s="36">
        <v>45386.745625000003</v>
      </c>
      <c r="G254" s="37"/>
      <c r="H254" s="30"/>
      <c r="I254" s="30"/>
      <c r="J254" s="31" t="s">
        <v>728</v>
      </c>
      <c r="K254" s="38">
        <v>0</v>
      </c>
      <c r="L254" s="39"/>
      <c r="M254" s="40">
        <v>1</v>
      </c>
      <c r="N254" s="41">
        <v>110</v>
      </c>
      <c r="O254" s="32">
        <v>4083</v>
      </c>
      <c r="P254" s="34">
        <v>45386.745625000003</v>
      </c>
    </row>
    <row r="255" spans="2:26" x14ac:dyDescent="0.25">
      <c r="B255" s="42"/>
      <c r="C255" s="43" t="s">
        <v>729</v>
      </c>
      <c r="D255" s="43" t="s">
        <v>730</v>
      </c>
      <c r="E255" s="43" t="s">
        <v>731</v>
      </c>
      <c r="F255" s="43" t="s">
        <v>728</v>
      </c>
      <c r="G255" s="43" t="s">
        <v>732</v>
      </c>
      <c r="H255" s="44" t="s">
        <v>733</v>
      </c>
      <c r="I255" s="44" t="s">
        <v>734</v>
      </c>
      <c r="J255" s="44">
        <v>0</v>
      </c>
      <c r="K255" s="44">
        <v>1</v>
      </c>
      <c r="L255" s="44">
        <v>2</v>
      </c>
      <c r="M255" s="33"/>
      <c r="N255" s="45"/>
      <c r="O255" s="32">
        <v>4083</v>
      </c>
      <c r="P255" s="34">
        <v>45386.745625000003</v>
      </c>
    </row>
    <row r="256" spans="2:26" x14ac:dyDescent="0.25">
      <c r="B256" s="46">
        <v>1</v>
      </c>
      <c r="C256" s="47" t="s">
        <v>355</v>
      </c>
      <c r="D256" s="48" t="s">
        <v>28</v>
      </c>
      <c r="E256" s="49">
        <v>1</v>
      </c>
      <c r="F256" s="50">
        <v>250</v>
      </c>
      <c r="G256" s="51">
        <v>250</v>
      </c>
      <c r="H256" s="52">
        <v>-1</v>
      </c>
      <c r="I256" s="53">
        <v>127</v>
      </c>
      <c r="J256" s="54">
        <v>180</v>
      </c>
      <c r="K256" s="54">
        <v>144</v>
      </c>
      <c r="L256" s="54">
        <v>126</v>
      </c>
      <c r="M256" s="55">
        <v>1</v>
      </c>
      <c r="N256" s="56">
        <v>110</v>
      </c>
      <c r="O256" s="32">
        <v>4083</v>
      </c>
      <c r="P256" s="34">
        <v>45386.745625000003</v>
      </c>
      <c r="R256" s="57"/>
      <c r="S256" s="57"/>
      <c r="T256" s="57"/>
      <c r="U256" s="57"/>
      <c r="V256" s="57"/>
      <c r="W256" s="57"/>
      <c r="X256" s="57"/>
      <c r="Y256" s="57"/>
      <c r="Z256" s="57"/>
    </row>
    <row r="257" spans="2:26" x14ac:dyDescent="0.25">
      <c r="B257" s="48">
        <v>2</v>
      </c>
      <c r="C257" s="47" t="s">
        <v>29</v>
      </c>
      <c r="D257" s="48" t="s">
        <v>5</v>
      </c>
      <c r="E257" s="49">
        <v>2</v>
      </c>
      <c r="F257" s="50">
        <v>450</v>
      </c>
      <c r="G257" s="51">
        <v>900</v>
      </c>
      <c r="H257" s="58">
        <v>-2</v>
      </c>
      <c r="I257" s="53">
        <v>160</v>
      </c>
      <c r="J257" s="54">
        <v>640</v>
      </c>
      <c r="K257" s="54">
        <v>512</v>
      </c>
      <c r="L257" s="54">
        <v>487</v>
      </c>
      <c r="M257" s="55">
        <v>1</v>
      </c>
      <c r="N257" s="56">
        <v>110</v>
      </c>
      <c r="O257" s="32">
        <v>4083</v>
      </c>
      <c r="P257" s="34">
        <v>45386.745625000003</v>
      </c>
    </row>
    <row r="258" spans="2:26" x14ac:dyDescent="0.25">
      <c r="B258" s="48">
        <v>3</v>
      </c>
      <c r="C258" s="47" t="s">
        <v>99</v>
      </c>
      <c r="D258" s="48" t="s">
        <v>28</v>
      </c>
      <c r="E258" s="49">
        <v>2</v>
      </c>
      <c r="F258" s="50">
        <v>400</v>
      </c>
      <c r="G258" s="51">
        <v>800</v>
      </c>
      <c r="H258" s="58">
        <v>-2</v>
      </c>
      <c r="I258" s="53">
        <v>167</v>
      </c>
      <c r="J258" s="54">
        <v>462</v>
      </c>
      <c r="K258" s="54">
        <v>370</v>
      </c>
      <c r="L258" s="54">
        <v>323</v>
      </c>
      <c r="M258" s="55">
        <v>1</v>
      </c>
      <c r="N258" s="56">
        <v>110</v>
      </c>
      <c r="O258" s="32">
        <v>4083</v>
      </c>
      <c r="P258" s="34">
        <v>45386.745625000003</v>
      </c>
    </row>
    <row r="259" spans="2:26" x14ac:dyDescent="0.25">
      <c r="B259" s="48">
        <v>4</v>
      </c>
      <c r="C259" s="47" t="s">
        <v>99</v>
      </c>
      <c r="D259" s="48" t="s">
        <v>28</v>
      </c>
      <c r="E259" s="49">
        <v>2</v>
      </c>
      <c r="F259" s="50">
        <v>350</v>
      </c>
      <c r="G259" s="51">
        <v>700</v>
      </c>
      <c r="H259" s="58">
        <v>-2</v>
      </c>
      <c r="I259" s="53">
        <v>167</v>
      </c>
      <c r="J259" s="54">
        <v>462</v>
      </c>
      <c r="K259" s="54">
        <v>370</v>
      </c>
      <c r="L259" s="54">
        <v>323</v>
      </c>
      <c r="M259" s="55">
        <v>1</v>
      </c>
      <c r="N259" s="56">
        <v>110</v>
      </c>
      <c r="O259" s="32">
        <v>4083</v>
      </c>
      <c r="P259" s="34">
        <v>45386.745625000003</v>
      </c>
    </row>
    <row r="260" spans="2:26" x14ac:dyDescent="0.25">
      <c r="B260" s="48">
        <v>5</v>
      </c>
      <c r="C260" s="47" t="s">
        <v>72</v>
      </c>
      <c r="D260" s="48" t="s">
        <v>28</v>
      </c>
      <c r="E260" s="49">
        <v>1</v>
      </c>
      <c r="F260" s="50">
        <v>100</v>
      </c>
      <c r="G260" s="51">
        <v>100</v>
      </c>
      <c r="H260" s="58">
        <v>-1</v>
      </c>
      <c r="I260" s="53">
        <v>19</v>
      </c>
      <c r="J260" s="54">
        <v>125</v>
      </c>
      <c r="K260" s="54">
        <v>100</v>
      </c>
      <c r="L260" s="54">
        <v>88</v>
      </c>
      <c r="M260" s="55">
        <v>1</v>
      </c>
      <c r="N260" s="56">
        <v>110</v>
      </c>
      <c r="O260" s="32">
        <v>4083</v>
      </c>
      <c r="P260" s="34">
        <v>45386.745625000003</v>
      </c>
    </row>
    <row r="261" spans="2:26" x14ac:dyDescent="0.25">
      <c r="B261" s="48">
        <v>6</v>
      </c>
      <c r="C261" s="47" t="s">
        <v>308</v>
      </c>
      <c r="D261" s="48" t="s">
        <v>28</v>
      </c>
      <c r="E261" s="49">
        <v>1</v>
      </c>
      <c r="F261" s="50">
        <v>150</v>
      </c>
      <c r="G261" s="51">
        <v>150</v>
      </c>
      <c r="H261" s="58">
        <v>-1</v>
      </c>
      <c r="I261" s="53">
        <v>108</v>
      </c>
      <c r="J261" s="54">
        <v>136</v>
      </c>
      <c r="K261" s="54">
        <v>127</v>
      </c>
      <c r="L261" s="54">
        <v>118</v>
      </c>
      <c r="M261" s="55">
        <v>1</v>
      </c>
      <c r="N261" s="56">
        <v>110</v>
      </c>
      <c r="O261" s="32">
        <v>4083</v>
      </c>
      <c r="P261" s="34">
        <v>45386.745625000003</v>
      </c>
    </row>
    <row r="262" spans="2:26" x14ac:dyDescent="0.25">
      <c r="B262" s="48">
        <v>7</v>
      </c>
      <c r="C262" s="47" t="s">
        <v>214</v>
      </c>
      <c r="D262" s="48" t="s">
        <v>28</v>
      </c>
      <c r="E262" s="49">
        <v>1</v>
      </c>
      <c r="F262" s="50">
        <v>500</v>
      </c>
      <c r="G262" s="51">
        <v>500</v>
      </c>
      <c r="H262" s="58">
        <v>9</v>
      </c>
      <c r="I262" s="53">
        <v>170</v>
      </c>
      <c r="J262" s="54">
        <v>462</v>
      </c>
      <c r="K262" s="54">
        <v>370</v>
      </c>
      <c r="L262" s="54">
        <v>323</v>
      </c>
      <c r="M262" s="55">
        <v>1</v>
      </c>
      <c r="N262" s="56">
        <v>110</v>
      </c>
      <c r="O262" s="32">
        <v>4083</v>
      </c>
      <c r="P262" s="34">
        <v>45386.745625000003</v>
      </c>
    </row>
    <row r="263" spans="2:26" x14ac:dyDescent="0.25">
      <c r="B263" s="48">
        <v>8</v>
      </c>
      <c r="C263" s="47" t="s">
        <v>344</v>
      </c>
      <c r="D263" s="48" t="s">
        <v>28</v>
      </c>
      <c r="E263" s="49">
        <v>2</v>
      </c>
      <c r="F263" s="50">
        <v>250</v>
      </c>
      <c r="G263" s="51">
        <v>500</v>
      </c>
      <c r="H263" s="58">
        <v>-2</v>
      </c>
      <c r="I263" s="53">
        <v>117</v>
      </c>
      <c r="J263" s="54">
        <v>180</v>
      </c>
      <c r="K263" s="54">
        <v>144</v>
      </c>
      <c r="L263" s="54">
        <v>126</v>
      </c>
      <c r="M263" s="55">
        <v>1</v>
      </c>
      <c r="N263" s="56">
        <v>110</v>
      </c>
      <c r="O263" s="32">
        <v>4083</v>
      </c>
      <c r="P263" s="34">
        <v>45386.745625000003</v>
      </c>
    </row>
    <row r="264" spans="2:26" x14ac:dyDescent="0.25">
      <c r="B264" s="48">
        <v>9</v>
      </c>
      <c r="C264" s="47" t="s">
        <v>29</v>
      </c>
      <c r="D264" s="48" t="s">
        <v>5</v>
      </c>
      <c r="E264" s="49">
        <v>1</v>
      </c>
      <c r="F264" s="50">
        <v>450</v>
      </c>
      <c r="G264" s="51">
        <v>450</v>
      </c>
      <c r="H264" s="58">
        <v>-1</v>
      </c>
      <c r="I264" s="53">
        <v>160</v>
      </c>
      <c r="J264" s="54">
        <v>640</v>
      </c>
      <c r="K264" s="54">
        <v>512</v>
      </c>
      <c r="L264" s="54">
        <v>487</v>
      </c>
      <c r="M264" s="55">
        <v>1</v>
      </c>
      <c r="N264" s="56">
        <v>110</v>
      </c>
      <c r="O264" s="32">
        <v>4083</v>
      </c>
      <c r="P264" s="34">
        <v>45386.745625000003</v>
      </c>
    </row>
    <row r="265" spans="2:26" ht="15.75" x14ac:dyDescent="0.25">
      <c r="B265" s="59"/>
      <c r="C265" s="60"/>
      <c r="D265" s="60"/>
      <c r="E265" s="61" t="s">
        <v>735</v>
      </c>
      <c r="F265" s="62">
        <v>4350</v>
      </c>
      <c r="G265" s="62"/>
      <c r="H265" s="30"/>
      <c r="I265" s="30"/>
      <c r="J265" s="30"/>
      <c r="K265" s="30"/>
      <c r="L265" s="30"/>
      <c r="M265" s="63"/>
      <c r="N265" s="64"/>
      <c r="O265" s="32">
        <v>4083</v>
      </c>
      <c r="P265" s="34">
        <v>45386.745625000003</v>
      </c>
    </row>
    <row r="266" spans="2:26" x14ac:dyDescent="0.25">
      <c r="C266" s="25" t="s">
        <v>407</v>
      </c>
      <c r="D266" s="26" t="s">
        <v>723</v>
      </c>
      <c r="E266" s="27"/>
      <c r="F266" s="28">
        <v>4082</v>
      </c>
      <c r="G266" s="29"/>
      <c r="H266" s="30"/>
      <c r="I266" s="30"/>
      <c r="J266" s="31" t="s">
        <v>724</v>
      </c>
      <c r="K266" s="32" t="s">
        <v>725</v>
      </c>
      <c r="L266" s="32" t="s">
        <v>725</v>
      </c>
      <c r="M266" s="33" t="s">
        <v>726</v>
      </c>
      <c r="N266" s="33" t="s">
        <v>727</v>
      </c>
      <c r="O266" s="32">
        <v>4082</v>
      </c>
      <c r="P266" s="34">
        <v>45385.405185185184</v>
      </c>
    </row>
    <row r="267" spans="2:26" x14ac:dyDescent="0.25">
      <c r="E267" s="35"/>
      <c r="F267" s="36">
        <v>45385.405185185184</v>
      </c>
      <c r="G267" s="37"/>
      <c r="H267" s="30"/>
      <c r="I267" s="30"/>
      <c r="J267" s="31" t="s">
        <v>728</v>
      </c>
      <c r="K267" s="38">
        <v>0</v>
      </c>
      <c r="L267" s="39"/>
      <c r="M267" s="40">
        <v>1</v>
      </c>
      <c r="N267" s="41">
        <v>110</v>
      </c>
      <c r="O267" s="32">
        <v>4082</v>
      </c>
      <c r="P267" s="34">
        <v>45385.405185185184</v>
      </c>
    </row>
    <row r="268" spans="2:26" x14ac:dyDescent="0.25">
      <c r="B268" s="42"/>
      <c r="C268" s="43" t="s">
        <v>729</v>
      </c>
      <c r="D268" s="43" t="s">
        <v>730</v>
      </c>
      <c r="E268" s="43" t="s">
        <v>731</v>
      </c>
      <c r="F268" s="43" t="s">
        <v>728</v>
      </c>
      <c r="G268" s="43" t="s">
        <v>732</v>
      </c>
      <c r="H268" s="44" t="s">
        <v>733</v>
      </c>
      <c r="I268" s="44" t="s">
        <v>734</v>
      </c>
      <c r="J268" s="44">
        <v>0</v>
      </c>
      <c r="K268" s="44">
        <v>1</v>
      </c>
      <c r="L268" s="44">
        <v>2</v>
      </c>
      <c r="M268" s="33"/>
      <c r="N268" s="45"/>
      <c r="O268" s="32">
        <v>4082</v>
      </c>
      <c r="P268" s="34">
        <v>45385.405185185184</v>
      </c>
    </row>
    <row r="269" spans="2:26" x14ac:dyDescent="0.25">
      <c r="B269" s="46">
        <v>1</v>
      </c>
      <c r="C269" s="47" t="s">
        <v>44</v>
      </c>
      <c r="D269" s="48" t="s">
        <v>28</v>
      </c>
      <c r="E269" s="49">
        <v>1</v>
      </c>
      <c r="F269" s="50">
        <v>500</v>
      </c>
      <c r="G269" s="51">
        <v>500</v>
      </c>
      <c r="H269" s="52">
        <v>-1</v>
      </c>
      <c r="I269" s="53">
        <v>326</v>
      </c>
      <c r="J269" s="54">
        <v>672</v>
      </c>
      <c r="K269" s="54">
        <v>538</v>
      </c>
      <c r="L269" s="54">
        <v>511</v>
      </c>
      <c r="M269" s="55">
        <v>1</v>
      </c>
      <c r="N269" s="56">
        <v>110</v>
      </c>
      <c r="O269" s="32">
        <v>4082</v>
      </c>
      <c r="P269" s="34">
        <v>45385.405185185184</v>
      </c>
      <c r="R269" s="57"/>
      <c r="S269" s="57"/>
      <c r="T269" s="57"/>
      <c r="U269" s="57"/>
      <c r="V269" s="57"/>
      <c r="W269" s="57"/>
      <c r="X269" s="57"/>
      <c r="Y269" s="57"/>
      <c r="Z269" s="57"/>
    </row>
    <row r="270" spans="2:26" x14ac:dyDescent="0.25">
      <c r="B270" s="48">
        <v>2</v>
      </c>
      <c r="C270" s="47" t="s">
        <v>10</v>
      </c>
      <c r="D270" s="48" t="s">
        <v>5</v>
      </c>
      <c r="E270" s="49">
        <v>1</v>
      </c>
      <c r="F270" s="50">
        <v>250</v>
      </c>
      <c r="G270" s="51">
        <v>250</v>
      </c>
      <c r="H270" s="58">
        <v>-1</v>
      </c>
      <c r="I270" s="53">
        <v>4</v>
      </c>
      <c r="J270" s="54">
        <v>248</v>
      </c>
      <c r="K270" s="54">
        <v>198</v>
      </c>
      <c r="L270" s="54">
        <v>188</v>
      </c>
      <c r="M270" s="55">
        <v>1</v>
      </c>
      <c r="N270" s="56">
        <v>110</v>
      </c>
      <c r="O270" s="32">
        <v>4082</v>
      </c>
      <c r="P270" s="34">
        <v>45385.405185185184</v>
      </c>
    </row>
    <row r="271" spans="2:26" x14ac:dyDescent="0.25">
      <c r="B271" s="48">
        <v>3</v>
      </c>
      <c r="C271" s="47" t="s">
        <v>355</v>
      </c>
      <c r="D271" s="48" t="s">
        <v>28</v>
      </c>
      <c r="E271" s="49">
        <v>1</v>
      </c>
      <c r="F271" s="50">
        <v>250</v>
      </c>
      <c r="G271" s="51">
        <v>250</v>
      </c>
      <c r="H271" s="58">
        <v>-1</v>
      </c>
      <c r="I271" s="53">
        <v>127</v>
      </c>
      <c r="J271" s="54">
        <v>180</v>
      </c>
      <c r="K271" s="54">
        <v>144</v>
      </c>
      <c r="L271" s="54">
        <v>126</v>
      </c>
      <c r="M271" s="55">
        <v>1</v>
      </c>
      <c r="N271" s="56">
        <v>110</v>
      </c>
      <c r="O271" s="32">
        <v>4082</v>
      </c>
      <c r="P271" s="34">
        <v>45385.405185185184</v>
      </c>
    </row>
    <row r="272" spans="2:26" x14ac:dyDescent="0.25">
      <c r="B272" s="48">
        <v>4</v>
      </c>
      <c r="C272" s="47" t="s">
        <v>99</v>
      </c>
      <c r="D272" s="48" t="s">
        <v>28</v>
      </c>
      <c r="E272" s="49">
        <v>1</v>
      </c>
      <c r="F272" s="50">
        <v>500</v>
      </c>
      <c r="G272" s="51">
        <v>500</v>
      </c>
      <c r="H272" s="58">
        <v>-1</v>
      </c>
      <c r="I272" s="53">
        <v>167</v>
      </c>
      <c r="J272" s="54">
        <v>462</v>
      </c>
      <c r="K272" s="54">
        <v>370</v>
      </c>
      <c r="L272" s="54">
        <v>323</v>
      </c>
      <c r="M272" s="55">
        <v>1</v>
      </c>
      <c r="N272" s="56">
        <v>110</v>
      </c>
      <c r="O272" s="32">
        <v>4082</v>
      </c>
      <c r="P272" s="34">
        <v>45385.405185185184</v>
      </c>
    </row>
    <row r="273" spans="2:26" ht="15.75" x14ac:dyDescent="0.25">
      <c r="B273" s="59"/>
      <c r="C273" s="60"/>
      <c r="D273" s="60"/>
      <c r="E273" s="61" t="s">
        <v>735</v>
      </c>
      <c r="F273" s="62">
        <v>1500</v>
      </c>
      <c r="G273" s="62"/>
      <c r="H273" s="30"/>
      <c r="I273" s="30"/>
      <c r="J273" s="30"/>
      <c r="K273" s="30"/>
      <c r="L273" s="30"/>
      <c r="M273" s="63"/>
      <c r="N273" s="64"/>
      <c r="O273" s="32">
        <v>4082</v>
      </c>
      <c r="P273" s="34">
        <v>45385.405185185184</v>
      </c>
    </row>
    <row r="274" spans="2:26" x14ac:dyDescent="0.25">
      <c r="C274" s="25" t="s">
        <v>407</v>
      </c>
      <c r="D274" s="26" t="s">
        <v>723</v>
      </c>
      <c r="E274" s="27"/>
      <c r="F274" s="28">
        <v>4081</v>
      </c>
      <c r="G274" s="29"/>
      <c r="H274" s="30"/>
      <c r="I274" s="30"/>
      <c r="J274" s="31" t="s">
        <v>724</v>
      </c>
      <c r="K274" s="32" t="s">
        <v>725</v>
      </c>
      <c r="L274" s="32" t="s">
        <v>725</v>
      </c>
      <c r="M274" s="33" t="s">
        <v>726</v>
      </c>
      <c r="N274" s="33" t="s">
        <v>727</v>
      </c>
      <c r="O274" s="32">
        <v>4081</v>
      </c>
      <c r="P274" s="34">
        <v>45384.403819444444</v>
      </c>
    </row>
    <row r="275" spans="2:26" x14ac:dyDescent="0.25">
      <c r="E275" s="35"/>
      <c r="F275" s="36">
        <v>45384.403819444444</v>
      </c>
      <c r="G275" s="37"/>
      <c r="H275" s="30"/>
      <c r="I275" s="30"/>
      <c r="J275" s="31" t="s">
        <v>728</v>
      </c>
      <c r="K275" s="38">
        <v>0</v>
      </c>
      <c r="L275" s="39"/>
      <c r="M275" s="40">
        <v>1</v>
      </c>
      <c r="N275" s="41">
        <v>110</v>
      </c>
      <c r="O275" s="32">
        <v>4081</v>
      </c>
      <c r="P275" s="34">
        <v>45384.403819444444</v>
      </c>
    </row>
    <row r="276" spans="2:26" x14ac:dyDescent="0.25">
      <c r="B276" s="42"/>
      <c r="C276" s="43" t="s">
        <v>729</v>
      </c>
      <c r="D276" s="43" t="s">
        <v>730</v>
      </c>
      <c r="E276" s="43" t="s">
        <v>731</v>
      </c>
      <c r="F276" s="43" t="s">
        <v>728</v>
      </c>
      <c r="G276" s="43" t="s">
        <v>732</v>
      </c>
      <c r="H276" s="44" t="s">
        <v>733</v>
      </c>
      <c r="I276" s="44" t="s">
        <v>734</v>
      </c>
      <c r="J276" s="44">
        <v>0</v>
      </c>
      <c r="K276" s="44">
        <v>1</v>
      </c>
      <c r="L276" s="44">
        <v>2</v>
      </c>
      <c r="M276" s="33"/>
      <c r="N276" s="45"/>
      <c r="O276" s="32">
        <v>4081</v>
      </c>
      <c r="P276" s="34">
        <v>45384.403819444444</v>
      </c>
    </row>
    <row r="277" spans="2:26" x14ac:dyDescent="0.25">
      <c r="B277" s="46">
        <v>1</v>
      </c>
      <c r="C277" s="47" t="s">
        <v>99</v>
      </c>
      <c r="D277" s="48" t="s">
        <v>28</v>
      </c>
      <c r="E277" s="49">
        <v>1</v>
      </c>
      <c r="F277" s="50">
        <v>400</v>
      </c>
      <c r="G277" s="51">
        <v>400</v>
      </c>
      <c r="H277" s="52">
        <v>-1</v>
      </c>
      <c r="I277" s="53">
        <v>167</v>
      </c>
      <c r="J277" s="54">
        <v>462</v>
      </c>
      <c r="K277" s="54">
        <v>370</v>
      </c>
      <c r="L277" s="54">
        <v>323</v>
      </c>
      <c r="M277" s="55">
        <v>1</v>
      </c>
      <c r="N277" s="56">
        <v>110</v>
      </c>
      <c r="O277" s="32">
        <v>4081</v>
      </c>
      <c r="P277" s="34">
        <v>45384.403819444444</v>
      </c>
      <c r="R277" s="57"/>
      <c r="S277" s="57"/>
      <c r="T277" s="57"/>
      <c r="U277" s="57"/>
      <c r="V277" s="57"/>
      <c r="W277" s="57"/>
      <c r="X277" s="57"/>
      <c r="Y277" s="57"/>
      <c r="Z277" s="57"/>
    </row>
    <row r="278" spans="2:26" x14ac:dyDescent="0.25">
      <c r="B278" s="48">
        <v>2</v>
      </c>
      <c r="C278" s="47" t="s">
        <v>215</v>
      </c>
      <c r="D278" s="48" t="s">
        <v>28</v>
      </c>
      <c r="E278" s="49">
        <v>1</v>
      </c>
      <c r="F278" s="50">
        <v>300</v>
      </c>
      <c r="G278" s="51">
        <v>300</v>
      </c>
      <c r="H278" s="58">
        <v>-1</v>
      </c>
      <c r="I278" s="53">
        <v>187</v>
      </c>
      <c r="J278" s="54">
        <v>462</v>
      </c>
      <c r="K278" s="54">
        <v>370</v>
      </c>
      <c r="L278" s="54">
        <v>323</v>
      </c>
      <c r="M278" s="55">
        <v>1</v>
      </c>
      <c r="N278" s="56">
        <v>110</v>
      </c>
      <c r="O278" s="32">
        <v>4081</v>
      </c>
      <c r="P278" s="34">
        <v>45384.403819444444</v>
      </c>
    </row>
    <row r="279" spans="2:26" x14ac:dyDescent="0.25">
      <c r="B279" s="48">
        <v>3</v>
      </c>
      <c r="C279" s="47" t="s">
        <v>40</v>
      </c>
      <c r="D279" s="48" t="s">
        <v>28</v>
      </c>
      <c r="E279" s="49">
        <v>1</v>
      </c>
      <c r="F279" s="50">
        <v>250</v>
      </c>
      <c r="G279" s="51">
        <v>250</v>
      </c>
      <c r="H279" s="58">
        <v>-1</v>
      </c>
      <c r="I279" s="53">
        <v>25</v>
      </c>
      <c r="J279" s="54">
        <v>276</v>
      </c>
      <c r="K279" s="54">
        <v>216</v>
      </c>
      <c r="L279" s="54">
        <v>216</v>
      </c>
      <c r="M279" s="55">
        <v>1</v>
      </c>
      <c r="N279" s="56">
        <v>110</v>
      </c>
      <c r="O279" s="32">
        <v>4081</v>
      </c>
      <c r="P279" s="34">
        <v>45384.403819444444</v>
      </c>
    </row>
    <row r="280" spans="2:26" x14ac:dyDescent="0.25">
      <c r="B280" s="48">
        <v>4</v>
      </c>
      <c r="C280" s="47" t="s">
        <v>214</v>
      </c>
      <c r="D280" s="48" t="s">
        <v>28</v>
      </c>
      <c r="E280" s="49">
        <v>1</v>
      </c>
      <c r="F280" s="50">
        <v>500</v>
      </c>
      <c r="G280" s="51">
        <v>500</v>
      </c>
      <c r="H280" s="58">
        <v>-1</v>
      </c>
      <c r="I280" s="53">
        <v>170</v>
      </c>
      <c r="J280" s="54">
        <v>462</v>
      </c>
      <c r="K280" s="54">
        <v>370</v>
      </c>
      <c r="L280" s="54">
        <v>323</v>
      </c>
      <c r="M280" s="55">
        <v>1</v>
      </c>
      <c r="N280" s="56">
        <v>110</v>
      </c>
      <c r="O280" s="32">
        <v>4081</v>
      </c>
      <c r="P280" s="34">
        <v>45384.403819444444</v>
      </c>
    </row>
    <row r="281" spans="2:26" ht="15.75" x14ac:dyDescent="0.25">
      <c r="B281" s="59"/>
      <c r="C281" s="60"/>
      <c r="D281" s="60"/>
      <c r="E281" s="61" t="s">
        <v>735</v>
      </c>
      <c r="F281" s="62">
        <v>1450</v>
      </c>
      <c r="G281" s="62"/>
      <c r="H281" s="30"/>
      <c r="I281" s="30"/>
      <c r="J281" s="30"/>
      <c r="K281" s="30"/>
      <c r="L281" s="30"/>
      <c r="M281" s="63"/>
      <c r="N281" s="64"/>
      <c r="O281" s="32">
        <v>4081</v>
      </c>
      <c r="P281" s="34">
        <v>45384.403819444444</v>
      </c>
    </row>
    <row r="282" spans="2:26" x14ac:dyDescent="0.25">
      <c r="C282" s="25" t="s">
        <v>425</v>
      </c>
      <c r="D282" s="26" t="s">
        <v>723</v>
      </c>
      <c r="E282" s="27"/>
      <c r="F282" s="28">
        <v>4080</v>
      </c>
      <c r="G282" s="29"/>
      <c r="H282" s="30"/>
      <c r="I282" s="30"/>
      <c r="J282" s="31" t="s">
        <v>724</v>
      </c>
      <c r="K282" s="32" t="s">
        <v>725</v>
      </c>
      <c r="L282" s="32" t="s">
        <v>725</v>
      </c>
      <c r="M282" s="33" t="s">
        <v>726</v>
      </c>
      <c r="N282" s="33" t="s">
        <v>727</v>
      </c>
      <c r="O282" s="32">
        <v>4080</v>
      </c>
      <c r="P282" s="34">
        <v>45384.403819444444</v>
      </c>
    </row>
    <row r="283" spans="2:26" x14ac:dyDescent="0.25">
      <c r="E283" s="35"/>
      <c r="F283" s="36">
        <v>45384.403819444444</v>
      </c>
      <c r="G283" s="37"/>
      <c r="H283" s="30"/>
      <c r="I283" s="30"/>
      <c r="J283" s="31" t="s">
        <v>728</v>
      </c>
      <c r="K283" s="38">
        <v>0</v>
      </c>
      <c r="L283" s="39"/>
      <c r="M283" s="40">
        <v>8</v>
      </c>
      <c r="N283" s="41">
        <v>110</v>
      </c>
      <c r="O283" s="32">
        <v>4080</v>
      </c>
      <c r="P283" s="34">
        <v>45384.403819444444</v>
      </c>
    </row>
    <row r="284" spans="2:26" x14ac:dyDescent="0.25">
      <c r="B284" s="42"/>
      <c r="C284" s="43" t="s">
        <v>729</v>
      </c>
      <c r="D284" s="43" t="s">
        <v>730</v>
      </c>
      <c r="E284" s="43" t="s">
        <v>731</v>
      </c>
      <c r="F284" s="43" t="s">
        <v>728</v>
      </c>
      <c r="G284" s="43" t="s">
        <v>732</v>
      </c>
      <c r="H284" s="44" t="s">
        <v>733</v>
      </c>
      <c r="I284" s="44" t="s">
        <v>734</v>
      </c>
      <c r="J284" s="44">
        <v>0</v>
      </c>
      <c r="K284" s="44">
        <v>1</v>
      </c>
      <c r="L284" s="44">
        <v>2</v>
      </c>
      <c r="M284" s="33"/>
      <c r="N284" s="45"/>
      <c r="O284" s="32">
        <v>4080</v>
      </c>
      <c r="P284" s="34">
        <v>45384.403819444444</v>
      </c>
    </row>
    <row r="285" spans="2:26" x14ac:dyDescent="0.25">
      <c r="B285" s="46">
        <v>1</v>
      </c>
      <c r="C285" s="47" t="s">
        <v>355</v>
      </c>
      <c r="D285" s="48" t="s">
        <v>28</v>
      </c>
      <c r="E285" s="49">
        <v>15</v>
      </c>
      <c r="F285" s="50">
        <v>190</v>
      </c>
      <c r="G285" s="51">
        <v>2850</v>
      </c>
      <c r="H285" s="52">
        <v>-15</v>
      </c>
      <c r="I285" s="53">
        <v>127</v>
      </c>
      <c r="J285" s="54">
        <v>180</v>
      </c>
      <c r="K285" s="54">
        <v>144</v>
      </c>
      <c r="L285" s="54">
        <v>126</v>
      </c>
      <c r="M285" s="55">
        <v>8</v>
      </c>
      <c r="N285" s="56">
        <v>110</v>
      </c>
      <c r="O285" s="32">
        <v>4080</v>
      </c>
      <c r="P285" s="34">
        <v>45384.403819444444</v>
      </c>
      <c r="R285" s="57"/>
      <c r="S285" s="57"/>
      <c r="T285" s="57"/>
      <c r="U285" s="57"/>
      <c r="V285" s="57"/>
      <c r="W285" s="57"/>
      <c r="X285" s="57"/>
      <c r="Y285" s="57"/>
      <c r="Z285" s="57"/>
    </row>
    <row r="286" spans="2:26" x14ac:dyDescent="0.25">
      <c r="B286" s="48">
        <v>2</v>
      </c>
      <c r="C286" s="47" t="s">
        <v>215</v>
      </c>
      <c r="D286" s="48" t="s">
        <v>28</v>
      </c>
      <c r="E286" s="49">
        <v>1</v>
      </c>
      <c r="F286" s="50">
        <v>200</v>
      </c>
      <c r="G286" s="51">
        <v>200</v>
      </c>
      <c r="H286" s="58">
        <v>-1</v>
      </c>
      <c r="I286" s="53">
        <v>187</v>
      </c>
      <c r="J286" s="54">
        <v>462</v>
      </c>
      <c r="K286" s="54">
        <v>370</v>
      </c>
      <c r="L286" s="54">
        <v>323</v>
      </c>
      <c r="M286" s="55">
        <v>8</v>
      </c>
      <c r="N286" s="56">
        <v>110</v>
      </c>
      <c r="O286" s="32">
        <v>4080</v>
      </c>
      <c r="P286" s="34">
        <v>45384.403819444444</v>
      </c>
    </row>
    <row r="287" spans="2:26" ht="15.75" x14ac:dyDescent="0.25">
      <c r="B287" s="59"/>
      <c r="C287" s="60"/>
      <c r="D287" s="60"/>
      <c r="E287" s="61" t="s">
        <v>735</v>
      </c>
      <c r="F287" s="62">
        <v>3050</v>
      </c>
      <c r="G287" s="62"/>
      <c r="H287" s="30"/>
      <c r="I287" s="30"/>
      <c r="J287" s="30"/>
      <c r="K287" s="30"/>
      <c r="L287" s="30"/>
      <c r="M287" s="63"/>
      <c r="N287" s="64"/>
      <c r="O287" s="32">
        <v>4080</v>
      </c>
      <c r="P287" s="34">
        <v>45384.403819444444</v>
      </c>
    </row>
    <row r="288" spans="2:26" x14ac:dyDescent="0.25">
      <c r="E288" s="21"/>
      <c r="J288" s="2"/>
      <c r="K288" s="2"/>
      <c r="L288" s="2"/>
      <c r="N288" s="22"/>
      <c r="O288" s="21"/>
      <c r="P288" s="23"/>
    </row>
  </sheetData>
  <autoFilter ref="A1:DM1" xr:uid="{88CC76DC-F37C-45CC-A172-C1AC6E6D0BD9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7CA0E-8D7B-417A-BF77-1CA3999BDEE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table01</vt:lpstr>
      <vt:lpstr>table01_01</vt:lpstr>
      <vt:lpstr>table02</vt:lpstr>
      <vt:lpstr>table02_01</vt:lpstr>
      <vt:lpstr>table03</vt:lpstr>
      <vt:lpstr>table03_01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alex2</dc:creator>
  <cp:lastModifiedBy>alex2</cp:lastModifiedBy>
  <dcterms:created xsi:type="dcterms:W3CDTF">2024-05-11T13:59:36Z</dcterms:created>
  <dcterms:modified xsi:type="dcterms:W3CDTF">2024-05-26T13:08:15Z</dcterms:modified>
</cp:coreProperties>
</file>